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D1_EU_AI_Act" sheetId="2" state="visible" r:id="rId2"/>
    <sheet name="02_D2_DFD_Compliance" sheetId="3" state="visible" r:id="rId3"/>
    <sheet name="03_D3_ATLAS" sheetId="4" state="visible" r:id="rId4"/>
    <sheet name="04_D4_Technical_Audit" sheetId="5" state="visible" r:id="rId5"/>
    <sheet name="05_D5_Risk_Register" sheetId="6" state="visible" r:id="rId6"/>
    <sheet name="06_D6_Model_Card" sheetId="7" state="visible" r:id="rId7"/>
    <sheet name="07_D7_KRI_Dashboard" sheetId="8" state="visible" r:id="rId8"/>
    <sheet name="08_D8_Launch_Decision"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2"/>
    </font>
    <font>
      <color rgb="00D5DBDB"/>
      <sz val="12"/>
    </font>
    <font>
      <b val="1"/>
      <color rgb="00FFFFFF"/>
      <sz val="10"/>
    </font>
    <font>
      <b val="1"/>
      <color rgb="001F4E79"/>
      <sz val="11"/>
    </font>
    <font>
      <b val="1"/>
      <sz val="11"/>
    </font>
    <font>
      <b val="1"/>
      <color rgb="00555555"/>
      <sz val="10"/>
    </font>
    <font>
      <b val="1"/>
      <color rgb="00FFFFFF"/>
      <sz val="14"/>
    </font>
    <font>
      <i val="1"/>
      <color rgb="006C757D"/>
      <sz val="10"/>
    </font>
    <font>
      <b val="1"/>
    </font>
  </fonts>
  <fills count="16">
    <fill>
      <patternFill/>
    </fill>
    <fill>
      <patternFill patternType="gray125"/>
    </fill>
    <fill>
      <patternFill patternType="solid">
        <fgColor rgb="001F4E79"/>
      </patternFill>
    </fill>
    <fill>
      <patternFill patternType="solid">
        <fgColor rgb="00E8F1F8"/>
      </patternFill>
    </fill>
    <fill>
      <patternFill patternType="solid">
        <fgColor rgb="00F8FBFD"/>
      </patternFill>
    </fill>
    <fill>
      <patternFill patternType="solid">
        <fgColor rgb="00D5DBDB"/>
      </patternFill>
    </fill>
    <fill>
      <patternFill patternType="solid">
        <fgColor rgb="000072B2"/>
      </patternFill>
    </fill>
    <fill>
      <patternFill patternType="solid">
        <fgColor rgb="00D55E00"/>
      </patternFill>
    </fill>
    <fill>
      <patternFill patternType="solid">
        <fgColor rgb="00785EF0"/>
      </patternFill>
    </fill>
    <fill>
      <patternFill patternType="solid">
        <fgColor rgb="00009E73"/>
      </patternFill>
    </fill>
    <fill>
      <patternFill patternType="solid">
        <fgColor rgb="00AE4500"/>
      </patternFill>
    </fill>
    <fill>
      <patternFill patternType="solid">
        <fgColor rgb="00B8528A"/>
      </patternFill>
    </fill>
    <fill>
      <patternFill patternType="solid">
        <fgColor rgb="0035506C"/>
      </patternFill>
    </fill>
    <fill>
      <patternFill patternType="solid">
        <fgColor rgb="006B3E26"/>
      </patternFill>
    </fill>
    <fill>
      <patternFill patternType="solid">
        <fgColor rgb="00FEF9E7"/>
      </patternFill>
    </fill>
    <fill>
      <patternFill patternType="solid">
        <fgColor rgb="00FFE9E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left" vertical="center" indent="2"/>
    </xf>
    <xf numFmtId="0" fontId="3" fillId="2" borderId="0" applyAlignment="1" pivotButton="0" quotePrefix="0" xfId="0">
      <alignment horizontal="left" vertical="center" indent="2"/>
    </xf>
    <xf numFmtId="0" fontId="4" fillId="3" borderId="1" applyAlignment="1" pivotButton="0" quotePrefix="0" xfId="0">
      <alignment vertical="center" indent="1"/>
    </xf>
    <xf numFmtId="0" fontId="0" fillId="0" borderId="4" pivotButton="0" quotePrefix="0" xfId="0"/>
    <xf numFmtId="0" fontId="0" fillId="0" borderId="5" pivotButton="0" quotePrefix="0" xfId="0"/>
    <xf numFmtId="0" fontId="0" fillId="4" borderId="1" applyAlignment="1" pivotButton="0" quotePrefix="0" xfId="0">
      <alignment vertical="top" wrapText="1"/>
    </xf>
    <xf numFmtId="0" fontId="5" fillId="5" borderId="0" applyAlignment="1" pivotButton="0" quotePrefix="0" xfId="0">
      <alignment vertical="center" indent="1"/>
    </xf>
    <xf numFmtId="0" fontId="3" fillId="2" borderId="1" applyAlignment="1" pivotButton="0" quotePrefix="0" xfId="0">
      <alignment horizontal="center" vertical="center" wrapText="1"/>
    </xf>
    <xf numFmtId="0" fontId="0" fillId="6" borderId="1" pivotButton="0" quotePrefix="0" xfId="0"/>
    <xf numFmtId="0" fontId="0" fillId="0" borderId="1" applyAlignment="1" pivotButton="0" quotePrefix="0" xfId="0">
      <alignment vertical="top" wrapText="1"/>
    </xf>
    <xf numFmtId="0" fontId="6" fillId="0" borderId="1" applyAlignment="1" pivotButton="0" quotePrefix="0" xfId="0">
      <alignment vertical="top" wrapText="1"/>
    </xf>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11" borderId="1" pivotButton="0" quotePrefix="0" xfId="0"/>
    <xf numFmtId="0" fontId="0" fillId="12" borderId="1" pivotButton="0" quotePrefix="0" xfId="0"/>
    <xf numFmtId="0" fontId="0" fillId="13" borderId="1" pivotButton="0" quotePrefix="0" xfId="0"/>
    <xf numFmtId="0" fontId="0" fillId="14" borderId="1" pivotButton="0" quotePrefix="0" xfId="0"/>
    <xf numFmtId="0" fontId="0" fillId="15" borderId="1" pivotButton="0" quotePrefix="0" xfId="0"/>
    <xf numFmtId="0" fontId="0" fillId="5" borderId="1" pivotButton="0" quotePrefix="0" xfId="0"/>
    <xf numFmtId="0" fontId="7" fillId="6" borderId="0" applyAlignment="1" pivotButton="0" quotePrefix="0" xfId="0">
      <alignment horizontal="left" vertical="center" indent="1"/>
    </xf>
    <xf numFmtId="0" fontId="8" fillId="0" borderId="1" applyAlignment="1" pivotButton="0" quotePrefix="0" xfId="0">
      <alignment vertical="top" wrapText="1"/>
    </xf>
    <xf numFmtId="0" fontId="3" fillId="6" borderId="1" applyAlignment="1" pivotButton="0" quotePrefix="0" xfId="0">
      <alignment horizontal="center" vertical="center" wrapText="1"/>
    </xf>
    <xf numFmtId="0" fontId="0" fillId="14" borderId="1" applyAlignment="1" pivotButton="0" quotePrefix="0" xfId="0">
      <alignment vertical="top" wrapText="1"/>
    </xf>
    <xf numFmtId="0" fontId="7" fillId="7" borderId="0" applyAlignment="1" pivotButton="0" quotePrefix="0" xfId="0">
      <alignment horizontal="left" vertical="center" indent="1"/>
    </xf>
    <xf numFmtId="0" fontId="3" fillId="7" borderId="1" applyAlignment="1" pivotButton="0" quotePrefix="0" xfId="0">
      <alignment horizontal="center" vertical="center" wrapText="1"/>
    </xf>
    <xf numFmtId="0" fontId="7" fillId="8" borderId="0" applyAlignment="1" pivotButton="0" quotePrefix="0" xfId="0">
      <alignment horizontal="left" vertical="center" indent="1"/>
    </xf>
    <xf numFmtId="0" fontId="3" fillId="8" borderId="1" applyAlignment="1" pivotButton="0" quotePrefix="0" xfId="0">
      <alignment horizontal="center" vertical="center" wrapText="1"/>
    </xf>
    <xf numFmtId="0" fontId="7" fillId="9" borderId="0" applyAlignment="1" pivotButton="0" quotePrefix="0" xfId="0">
      <alignment horizontal="left" vertical="center" indent="1"/>
    </xf>
    <xf numFmtId="0" fontId="3" fillId="9" borderId="1" applyAlignment="1" pivotButton="0" quotePrefix="0" xfId="0">
      <alignment horizontal="center" vertical="center" wrapText="1"/>
    </xf>
    <xf numFmtId="0" fontId="9" fillId="0" borderId="1" applyAlignment="1" pivotButton="0" quotePrefix="0" xfId="0">
      <alignment vertical="top" wrapText="1"/>
    </xf>
    <xf numFmtId="0" fontId="7" fillId="10" borderId="0" applyAlignment="1" pivotButton="0" quotePrefix="0" xfId="0">
      <alignment horizontal="left" vertical="center" indent="1"/>
    </xf>
    <xf numFmtId="0" fontId="3" fillId="10" borderId="1" applyAlignment="1" pivotButton="0" quotePrefix="0" xfId="0">
      <alignment horizontal="center" vertical="center" wrapText="1"/>
    </xf>
    <xf numFmtId="0" fontId="9" fillId="0" borderId="1" pivotButton="0" quotePrefix="0" xfId="0"/>
    <xf numFmtId="0" fontId="0" fillId="0" borderId="1" pivotButton="0" quotePrefix="0" xfId="0"/>
    <xf numFmtId="0" fontId="7" fillId="11" borderId="0" applyAlignment="1" pivotButton="0" quotePrefix="0" xfId="0">
      <alignment horizontal="left" vertical="center" indent="1"/>
    </xf>
    <xf numFmtId="0" fontId="8" fillId="0" borderId="0" pivotButton="0" quotePrefix="0" xfId="0"/>
    <xf numFmtId="0" fontId="7" fillId="12" borderId="0" applyAlignment="1" pivotButton="0" quotePrefix="0" xfId="0">
      <alignment horizontal="left" vertical="center" indent="1"/>
    </xf>
    <xf numFmtId="0" fontId="3" fillId="12" borderId="1" applyAlignment="1" pivotButton="0" quotePrefix="0" xfId="0">
      <alignment horizontal="center" vertical="center" wrapText="1"/>
    </xf>
    <xf numFmtId="0" fontId="7" fillId="13" borderId="0" applyAlignment="1" pivotButton="0" quotePrefix="0" xfId="0">
      <alignment horizontal="left" vertical="center" indent="1"/>
    </xf>
    <xf numFmtId="0" fontId="3" fillId="13" borderId="1" applyAlignment="1" pivotButton="0" quotePrefix="0" xfId="0">
      <alignment horizontal="center" vertical="center" wrapText="1"/>
    </xf>
    <xf numFmtId="0" fontId="0" fillId="0" borderId="0"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1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6" customWidth="1" min="1" max="1"/>
    <col width="50" customWidth="1" min="2" max="2"/>
    <col width="18" customWidth="1" min="3" max="3"/>
    <col width="60" customWidth="1" min="4" max="4"/>
  </cols>
  <sheetData>
    <row r="1" ht="38" customHeight="1">
      <c r="A1" s="1" t="inlineStr">
        <is>
          <t>OPERATION HEALTHGUARD</t>
        </is>
      </c>
    </row>
    <row r="2" ht="18" customHeight="1">
      <c r="A2" s="2" t="inlineStr">
        <is>
          <t>AI Model Risk &amp; Compliance Assessment — Governance Portfolio</t>
        </is>
      </c>
    </row>
    <row r="3" ht="30" customHeight="1">
      <c r="A3" s="3" t="inlineStr">
        <is>
          <t>STUDENT WORKBOOK — fill in the 8 tabs and submit</t>
        </is>
      </c>
    </row>
    <row r="4" ht="12" customHeight="1"/>
    <row r="5" ht="26" customHeight="1">
      <c r="A5" s="4" t="inlineStr">
        <is>
          <t>YOUR ROLE   Chief AI Risk Officer at Klariova Health</t>
        </is>
      </c>
      <c r="B5" s="5" t="n"/>
      <c r="C5" s="5" t="n"/>
      <c r="D5" s="6" t="n"/>
    </row>
    <row r="6" ht="48" customHeight="1">
      <c r="A6" s="7" t="inlineStr">
        <is>
          <t>Pre-launch governance, risk, and compliance review of HealthGuard, an AI model that predicts patient diabetes risk. Your launch recommendation goes to the AI Review Board, the Chief Compliance Officer, and the CEO.</t>
        </is>
      </c>
      <c r="B6" s="5" t="n"/>
      <c r="C6" s="5" t="n"/>
      <c r="D6" s="6" t="n"/>
    </row>
    <row r="7" ht="10" customHeight="1"/>
    <row r="8" ht="22" customHeight="1">
      <c r="A8" s="8" t="inlineStr">
        <is>
          <t>Workbook Tabs</t>
        </is>
      </c>
    </row>
    <row r="9" ht="28" customHeight="1">
      <c r="A9" s="9" t="inlineStr"/>
      <c r="B9" s="9" t="inlineStr">
        <is>
          <t>Tab</t>
        </is>
      </c>
      <c r="C9" s="9" t="inlineStr">
        <is>
          <t>Source</t>
        </is>
      </c>
      <c r="D9" s="9" t="inlineStr">
        <is>
          <t>What you produce</t>
        </is>
      </c>
    </row>
    <row r="10" ht="28" customHeight="1">
      <c r="A10" s="10" t="inlineStr"/>
      <c r="B10" s="11" t="inlineStr">
        <is>
          <t>D1 EU AI Act Classification &amp; Gap Analysis</t>
        </is>
      </c>
      <c r="C10" s="12" t="inlineStr">
        <is>
          <t>[HAND]</t>
        </is>
      </c>
      <c r="D10" s="11" t="inlineStr">
        <is>
          <t>Risk-tier classification + ≥6 obligations gap analysis</t>
        </is>
      </c>
    </row>
    <row r="11" ht="28" customHeight="1">
      <c r="A11" s="13" t="inlineStr"/>
      <c r="B11" s="11" t="inlineStr">
        <is>
          <t>D2 Data Flow Compliance Map (GDPR / CPRA)</t>
        </is>
      </c>
      <c r="C11" s="12" t="inlineStr">
        <is>
          <t>[HAND]</t>
        </is>
      </c>
      <c r="D11" s="11" t="inlineStr">
        <is>
          <t>Annotate the pre-drawn DFD; build the obligation table</t>
        </is>
      </c>
    </row>
    <row r="12" ht="28" customHeight="1">
      <c r="A12" s="14" t="inlineStr"/>
      <c r="B12" s="11" t="inlineStr">
        <is>
          <t>D3 MITRE ATLAS Threat Model — 3 TTPs</t>
        </is>
      </c>
      <c r="C12" s="12" t="inlineStr">
        <is>
          <t>[HAND]</t>
        </is>
      </c>
      <c r="D12" s="11" t="inlineStr">
        <is>
          <t>3 well-analyzed TTPs with mitigations</t>
        </is>
      </c>
    </row>
    <row r="13" ht="28" customHeight="1">
      <c r="A13" s="15" t="inlineStr"/>
      <c r="B13" s="11" t="inlineStr">
        <is>
          <t>D4 Technical Audit Summary</t>
        </is>
      </c>
      <c r="C13" s="12" t="inlineStr">
        <is>
          <t>[CODE]</t>
        </is>
      </c>
      <c r="D13" s="11" t="inlineStr">
        <is>
          <t>Populated by audit_notebook.ipynb</t>
        </is>
      </c>
    </row>
    <row r="14" ht="28" customHeight="1">
      <c r="A14" s="16" t="inlineStr"/>
      <c r="B14" s="11" t="inlineStr">
        <is>
          <t>D5 NIST AI RMF Risk Register</t>
        </is>
      </c>
      <c r="C14" s="12" t="inlineStr">
        <is>
          <t>[HAND + CODE]</t>
        </is>
      </c>
      <c r="D14" s="11" t="inlineStr">
        <is>
          <t>Notebook seeds 3-4 rows; you add the rest (target ≥10)</t>
        </is>
      </c>
    </row>
    <row r="15" ht="28" customHeight="1">
      <c r="A15" s="17" t="inlineStr"/>
      <c r="B15" s="11" t="inlineStr">
        <is>
          <t>D6 Model Card (7 sections)</t>
        </is>
      </c>
      <c r="C15" s="12" t="inlineStr">
        <is>
          <t>[HAND + CODE]</t>
        </is>
      </c>
      <c r="D15" s="11" t="inlineStr">
        <is>
          <t>Notebook fills Performance + Subgroup; you write the rest</t>
        </is>
      </c>
    </row>
    <row r="16" ht="28" customHeight="1">
      <c r="A16" s="18" t="inlineStr"/>
      <c r="B16" s="11" t="inlineStr">
        <is>
          <t>D7 KRI Dashboard</t>
        </is>
      </c>
      <c r="C16" s="12" t="inlineStr">
        <is>
          <t>[CODE]</t>
        </is>
      </c>
      <c r="D16" s="11" t="inlineStr">
        <is>
          <t>Notebook calls your kri.py to populate Status</t>
        </is>
      </c>
    </row>
    <row r="17" ht="28" customHeight="1">
      <c r="A17" s="19" t="inlineStr"/>
      <c r="B17" s="11" t="inlineStr">
        <is>
          <t>D8 Launch Decision &amp; Executive Brief</t>
        </is>
      </c>
      <c r="C17" s="12" t="inlineStr">
        <is>
          <t>[HAND]</t>
        </is>
      </c>
      <c r="D17" s="11" t="inlineStr">
        <is>
          <t>1-page exec brief + detailed justification + RACI</t>
        </is>
      </c>
    </row>
    <row r="18" ht="12" customHeight="1"/>
    <row r="19" ht="22" customHeight="1">
      <c r="A19" s="8" t="inlineStr">
        <is>
          <t>Visual Key  (colorblind-safe — Wong palette)</t>
        </is>
      </c>
    </row>
    <row r="20" ht="30" customHeight="1">
      <c r="A20" s="20" t="inlineStr"/>
      <c r="B20" s="11" t="inlineStr">
        <is>
          <t>YELLOW = your input. Each yellow cell holds a [bracketed hint] — replace it with your answer. All other body cells (white) are reference material; do not edit.</t>
        </is>
      </c>
      <c r="C20" s="5" t="n"/>
      <c r="D20" s="6" t="n"/>
    </row>
    <row r="21" ht="30" customHeight="1">
      <c r="A21" s="21" t="inlineStr"/>
      <c r="B21" s="11" t="inlineStr">
        <is>
          <t>SOFT ORANGE = top-N enterprise-priority risk in the Risk Register (D5).</t>
        </is>
      </c>
      <c r="C21" s="5" t="n"/>
      <c r="D21" s="6" t="n"/>
    </row>
    <row r="22" ht="30" customHeight="1">
      <c r="A22" s="22" t="inlineStr"/>
      <c r="B22" s="11" t="inlineStr">
        <is>
          <t>DARK GRAY = section divider bar within a tab.</t>
        </is>
      </c>
      <c r="C22" s="5" t="n"/>
      <c r="D22" s="6" t="n"/>
    </row>
    <row r="23" ht="12" customHeight="1"/>
    <row r="24" ht="22" customHeight="1">
      <c r="A24" s="8" t="inlineStr">
        <is>
          <t>Submission</t>
        </is>
      </c>
    </row>
    <row r="25" ht="80" customHeight="1">
      <c r="A25" s="7" t="inlineStr">
        <is>
          <t>Submit three artifacts:
    1. This populated workbook (governance_portfolio.xlsx) — all 8 tabs filled in.
    2. Your completed audit_notebook.ipynb — runs end-to-end without error.
    3. Your lab/ folder — all four modules implemented; all 34 unit tests pass.</t>
        </is>
      </c>
      <c r="B25" s="5" t="n"/>
      <c r="C25" s="5" t="n"/>
      <c r="D25" s="6" t="n"/>
    </row>
  </sheetData>
  <mergeCells count="12">
    <mergeCell ref="A1:D1"/>
    <mergeCell ref="A5:D5"/>
    <mergeCell ref="A8:D8"/>
    <mergeCell ref="A6:D6"/>
    <mergeCell ref="B22:D22"/>
    <mergeCell ref="A3:D3"/>
    <mergeCell ref="A25:D25"/>
    <mergeCell ref="B21:D21"/>
    <mergeCell ref="A2:D2"/>
    <mergeCell ref="A19:D19"/>
    <mergeCell ref="A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26" customWidth="1" min="2" max="2"/>
    <col width="38" customWidth="1" min="3" max="3"/>
    <col width="48" customWidth="1" min="4" max="4"/>
    <col width="22" customWidth="1" min="5" max="5"/>
    <col width="50" customWidth="1" min="6" max="6"/>
  </cols>
  <sheetData>
    <row r="1" ht="32" customHeight="1">
      <c r="A1" s="23" t="inlineStr">
        <is>
          <t>D1 — EU AI Act Classification &amp; Gap Analysis</t>
        </is>
      </c>
    </row>
    <row r="2" ht="24" customHeight="1">
      <c r="A2" s="24" t="inlineStr">
        <is>
          <t>Classify HealthGuard under the EU AI Act risk tiers, then perform a gap analysis against Articles 9-15. Yellow cells are your inputs.</t>
        </is>
      </c>
      <c r="B2" s="5" t="n"/>
      <c r="C2" s="5" t="n"/>
      <c r="D2" s="5" t="n"/>
      <c r="E2" s="5" t="n"/>
      <c r="F2" s="6" t="n"/>
    </row>
    <row r="4" ht="22" customHeight="1">
      <c r="A4" s="8" t="inlineStr">
        <is>
          <t>SECTION A: Risk Classification</t>
        </is>
      </c>
    </row>
    <row r="5" ht="28" customHeight="1">
      <c r="A5" s="25" t="inlineStr">
        <is>
          <t>Step</t>
        </is>
      </c>
      <c r="B5" s="25" t="inlineStr">
        <is>
          <t>Question</t>
        </is>
      </c>
      <c r="C5" s="25" t="inlineStr">
        <is>
          <t>Your Answer</t>
        </is>
      </c>
      <c r="D5" s="25" t="inlineStr">
        <is>
          <t>Evidence / Justification</t>
        </is>
      </c>
      <c r="E5" s="25" t="inlineStr">
        <is>
          <t>Article Reference</t>
        </is>
      </c>
      <c r="F5" s="25" t="inlineStr"/>
    </row>
    <row r="6" ht="246" customHeight="1">
      <c r="A6" s="11" t="inlineStr">
        <is>
          <t>1</t>
        </is>
      </c>
      <c r="B6" s="11" t="inlineStr">
        <is>
          <t>Does the system engage in any prohibited practices under Article 5?</t>
        </is>
      </c>
      <c r="C6" s="26" t="inlineStr">
        <is>
          <t>No</t>
        </is>
      </c>
      <c r="D6" s="26" t="inlineStr">
        <is>
          <t>None of the Article 5(1) prohibited practices apply: (a) no subliminal/manipulative techniques. Output goes to a clinician, not the patient. (b) Does not exploit age, disability or socio-economic vulnerability to distort behaviour. It uses region/insurance_type as features, which is a fairness issue for Art. 10, not a prohibited practice. (c) Not social scoring. The score is used only in the clinical context it is produced for, and insurance underwriting / coverage decisions are contractually prohibited (that restriction must stay enforced; see Art. 9 row). (d) No criminal-offence risk prediction. (e) No facial-image scraping. (f) No emotion recognition at work/school. (g) No biometric categorisation; no biometric data is processed. (h) No real-time remote biometric ID. Conclusion: not prohibited. Proceed to Art. 6.</t>
        </is>
      </c>
      <c r="E6" s="11" t="inlineStr">
        <is>
          <t>Article 5(1)(a)-(h)</t>
        </is>
      </c>
      <c r="F6" s="44" t="n"/>
    </row>
    <row r="7" ht="291" customHeight="1">
      <c r="A7" s="11" t="inlineStr">
        <is>
          <t>2</t>
        </is>
      </c>
      <c r="B7" s="11" t="inlineStr">
        <is>
          <t>Is the system a safety component under EU harmonisation legislation (Annex I)?</t>
        </is>
      </c>
      <c r="C7" s="26" t="inlineStr">
        <is>
          <t>Yes (contested by vendor positioning; treat as Yes)</t>
        </is>
      </c>
      <c r="D7" s="26" t="inlineStr">
        <is>
          <t>MDR 2017/745 is listed in Annex I Section A. MDR Art. 2(1) defines a medical device to include software intended for 'diagnosis, prevention, monitoring, prediction, prognosis' of disease. HealthGuard predicts an individual's T2D risk to drive preventive action (earlier labs, referral), so it meets the definition (MDCG 2019-11 decision steps: acts on patient-specific data, goes beyond storage/simple search, serves a medical purpose). Calling it 'decision support' does not exempt it. MDR Annex VIII Rule 11 classes software that provides information used for diagnostic/therapeutic decisions as at least Class IIa, which requires notified-body conformity assessment. Both limbs of Art. 6(1) are therefore met: (a) the AI system is itself a product covered by Annex I, and (b) it requires third-party conformity assessment. The brief's statement that HealthGuard is 'not a regulated medical device' is a regulatory-positioning gap that needs a formal MDR qualification opinion.</t>
        </is>
      </c>
      <c r="E7" s="11" t="inlineStr">
        <is>
          <t>Article 6(1)(a)-(b) + Annex I Section A (MDR 2017/745 Art. 2(1); Annex VIII Rule 11; MDCG 2019-11)</t>
        </is>
      </c>
      <c r="F7" s="44" t="n"/>
    </row>
    <row r="8" ht="246" customHeight="1">
      <c r="A8" s="11" t="inlineStr">
        <is>
          <t>3</t>
        </is>
      </c>
      <c r="B8" s="11" t="inlineStr">
        <is>
          <t>Does the system fall under any Annex III high-risk category?</t>
        </is>
      </c>
      <c r="C8" s="26" t="inlineStr">
        <is>
          <t>Borderline</t>
        </is>
      </c>
      <c r="D8" s="26" t="inlineStr">
        <is>
          <t>Point 5(a) covers essential public services, explicitly including healthcare services, when an AI system is used by or on behalf of public authorities to evaluate eligibility. The EU launch sites are academic medical centres, several of them publicly run. If the score gates referral into a publicly funded diabetes-prevention programme, 5(a) is engaged. Point 5(c) (life/health-insurance risk pricing) would apply only under a prohibited non-intended use. Point 5(d) (emergency triage) is excluded because ED/ICU use is out of scope. The Art. 6(3) derogation is NOT available. The system profiles natural persons (GDPR Art. 4(4): predicting health), and the last sub-paragraph of Art. 6(3) makes any Annex III system that profiles high-risk. Annex III is a secondary basis; the classification does not depend on it.</t>
        </is>
      </c>
      <c r="E8" s="11" t="inlineStr">
        <is>
          <t>Annex III point 5(a) (5(c)/5(d) considered and excluded); Article 6(3)</t>
        </is>
      </c>
      <c r="F8" s="44" t="n"/>
    </row>
    <row r="9" ht="291" customHeight="1">
      <c r="A9" s="11" t="inlineStr">
        <is>
          <t>4</t>
        </is>
      </c>
      <c r="B9" s="11" t="inlineStr">
        <is>
          <t>FINAL CLASSIFICATION</t>
        </is>
      </c>
      <c r="C9" s="26" t="inlineStr">
        <is>
          <t>HIGH-RISK</t>
        </is>
      </c>
      <c r="D9" s="26" t="inlineStr">
        <is>
          <t>HealthGuard is a high-risk AI system. Primary basis: Art. 6(1) + Annex I Section A, because it is medical-device software (MDR Class IIa under Rule 11) needing notified-body assessment. Secondary/alternative basis: Art. 6(2) + Annex III 5(a) where public hospitals use it to decide access to prevention services. It is not prohibited under Art. 5. Consequences for Klariova as provider: the Arts 9-15 requirements; a QMS (Art. 17); technical documentation (Art. 11/Annex IV); conformity assessment through the MDR notified body (Art. 43(3)); an EU declaration of conformity and CE marking (Arts 47-48); registration (Art. 49); post-market monitoring (Art. 72); and serious-incident reporting (Art. 73). Public-body deployers must also complete a FRIA (Art. 27). Timing: Art. 6(1) obligations apply from 2 Aug 2027 (Art. 113(c)), which falls inside the Q3 2027 EU launch window. Check whether the Digital Omnibus has changed this date, but plan as if the obligations apply at launch.</t>
        </is>
      </c>
      <c r="E9" s="11" t="inlineStr">
        <is>
          <t>Article 6(1) + Annex I Section A (MDR 2017/745); secondary: Article 6(2) + Annex III 5(a)</t>
        </is>
      </c>
      <c r="F9" s="44" t="n"/>
    </row>
    <row r="12" ht="22" customHeight="1">
      <c r="A12" s="8" t="inlineStr">
        <is>
          <t>SECTION B: Compliance Gap Analysis (Articles 9-15)</t>
        </is>
      </c>
    </row>
    <row r="13" ht="28" customHeight="1">
      <c r="A13" s="25" t="inlineStr">
        <is>
          <t>Article</t>
        </is>
      </c>
      <c r="B13" s="25" t="inlineStr">
        <is>
          <t>Requirement</t>
        </is>
      </c>
      <c r="C13" s="25" t="inlineStr">
        <is>
          <t>Description</t>
        </is>
      </c>
      <c r="D13" s="25" t="inlineStr">
        <is>
          <t>Status</t>
        </is>
      </c>
      <c r="E13" s="25" t="inlineStr">
        <is>
          <t>Severity</t>
        </is>
      </c>
      <c r="F13" s="25" t="inlineStr">
        <is>
          <t>Evidence Needed / Remediation</t>
        </is>
      </c>
    </row>
    <row r="14" ht="291" customHeight="1">
      <c r="A14" s="11" t="inlineStr">
        <is>
          <t>Art. 9</t>
        </is>
      </c>
      <c r="B14" s="11" t="inlineStr">
        <is>
          <t>Risk Management System</t>
        </is>
      </c>
      <c r="C14" s="11" t="inlineStr">
        <is>
          <t>Continuous, iterative risk-management process across the AI lifecycle</t>
        </is>
      </c>
      <c r="D14" s="26" t="inlineStr">
        <is>
          <t>Partially Met</t>
        </is>
      </c>
      <c r="E14" s="26" t="inlineStr">
        <is>
          <t>High</t>
        </is>
      </c>
      <c r="F14" s="26" t="inlineStr">
        <is>
          <t>EVIDENCE OF GAP: This pre-launch GRC review is the first structured risk assessment. There is no documented, continuous lifecycle RMS. No acceptance thresholds were set in advance for testing (Art. 9(6)-(8)). Subgroup harm to vulnerable groups (Art. 9(9)) has not been evaluated. Foreseeable misuse (insurance underwriting, patient-facing use, ED/ICU use) is controlled only by contract terms.
REMEDIATION: Adopt a written RMS procedure aligned to ISO 14971 (needed for MDR anyway) and ISO/IEC 23894, and make the D5 risk register its living output. Set pass/fail thresholds before testing, including a subgroup-FNR tolerance. Add technical misuse controls: API scoping, tenant blocks for ED/ICU, and no patient-facing endpoint. Feed post-market monitoring (Art. 72) and the D7 KRIs back into the RMS on a set review cadence.
PROOF: an approved RMS procedure, a risk register with an owner for each risk, and residual-risk acceptance signed by the AI Review Board.</t>
        </is>
      </c>
    </row>
    <row r="15" ht="381" customHeight="1">
      <c r="A15" s="11" t="inlineStr">
        <is>
          <t>Art. 10</t>
        </is>
      </c>
      <c r="B15" s="11" t="inlineStr">
        <is>
          <t>Data Governance</t>
        </is>
      </c>
      <c r="C15" s="11" t="inlineStr">
        <is>
          <t>Training, validation, and test sets must be relevant, representative, free of errors</t>
        </is>
      </c>
      <c r="D15" s="26" t="inlineStr">
        <is>
          <t>Not Met</t>
        </is>
      </c>
      <c r="E15" s="26" t="inlineStr">
        <is>
          <t>Critical</t>
        </is>
      </c>
      <c r="F15" s="26" t="inlineStr">
        <is>
          <t>EVIDENCE OF GAP: (1) The training data is not representative. It comes only from IE+DE, but the system will also be deployed in the US (CA/MA/TX). (2) Label bias: under-served patients are under-diagnosed in Source 1, and the synthetic Source 2 reproduces that pattern rather than correcting it. (3) region and insurance_type are model features. insurance_type comes from billing and can be stale (a data-quality error), and Rural patients are 45% Medicaid, so the field acts as a proxy. (4) Our own check (test n=3,000, threshold 0.26) found FNR of 37.8% for Rural vs 22.7% for Urban (1.7x), 37.5% for Uninsured and 31.3% for Medicaid vs 20.8% for Medicare, and 48.9% for ages 21-35. (5) Manifest mismatch: train.csv has 12,000 rows, against the '~8,000' in the brief. No bias examination as required by Art. 10(2)(f)-(g) is on file.
REMEDIATION: Document data governance per Art. 10(2): origin, labelling and assumptions. Run a bias examination and mitigation: drop region/insurance_type or justify them, reweight or adjust thresholds per group, and audit labels. Source real-world rural and under-served records. Validate on a US-representative cohort before the US launch. Add freshness and validation checks on insurance_type. Reconcile the training manifest hash with the actual dataset.</t>
        </is>
      </c>
    </row>
    <row r="16" ht="321" customHeight="1">
      <c r="A16" s="11" t="inlineStr">
        <is>
          <t>Art. 10</t>
        </is>
      </c>
      <c r="B16" s="11" t="inlineStr">
        <is>
          <t>Special Category Data</t>
        </is>
      </c>
      <c r="C16" s="11" t="inlineStr">
        <is>
          <t>Appropriate safeguards for processing special-category (e.g., health) data</t>
        </is>
      </c>
      <c r="D16" s="26" t="inlineStr">
        <is>
          <t>Partially Met</t>
        </is>
      </c>
      <c r="E16" s="26" t="inlineStr">
        <is>
          <t>High</t>
        </is>
      </c>
      <c r="F16" s="26" t="inlineStr">
        <is>
          <t>EVIDENCE OF COMPLIANCE: Source 1 has explicit opt-in for secondary use under the DPA, and hospitals manage consent.
GAPS: No DPIA (GDPR Art. 35) is referenced. The Art. 10(5) safeguards for using special-category data in bias work are not documented: strict necessity, pseudonymisation, access restriction, deletion once correction is done, and records of processing. The synthetic Source 2 was generated from real patients, and nobody has tested it for memorisation or re-identification. The Model Registry keeps every training dataset indefinitely (a minimisation and storage-limitation issue). US inference telemetry goes to Frankfurt without a documented transfer assessment.
REMEDIATION: Complete a DPIA and record the GDPR Art. 9(2)(h)/(j) legal basis. Document the Art. 10(5)(a)-(f) safeguards. Run membership-inference and nearest-neighbour privacy tests on the synthetic data. Set a retention and deletion schedule and RBAC for training data in the registry. Data-map the telemetry flow and minimise or pseudonymise it (see D2).</t>
        </is>
      </c>
    </row>
    <row r="17" ht="336" customHeight="1">
      <c r="A17" s="11" t="inlineStr">
        <is>
          <t>Art. 11</t>
        </is>
      </c>
      <c r="B17" s="11" t="inlineStr">
        <is>
          <t>Technical Documentation</t>
        </is>
      </c>
      <c r="C17" s="11" t="inlineStr">
        <is>
          <t>Draw up technical documentation per Annex IV before market placement</t>
        </is>
      </c>
      <c r="D17" s="26" t="inlineStr">
        <is>
          <t>Not Met</t>
        </is>
      </c>
      <c r="E17" s="26" t="inlineStr">
        <is>
          <t>High</t>
        </is>
      </c>
      <c r="F17" s="26" t="inlineStr">
        <is>
          <t>EVIDENCE OF GAP: All that exists is a model-card precursor: version healthguard-v1.0-rc7, training date 2027-03-12 and a manifest hash. The Annex IV elements are missing:
- general description and intended purpose
- design specs and architecture (6 components)
- data requirements and provenance
- validation and testing procedures and results, including subgroup metrics
- human-oversight measures
- RMS description
- change-management / predetermined-change plan (relevant because overrides feed retraining)
- post-market monitoring plan
Under Art. 11(2) this must be one technical-documentation set, combined with MDR Annexes II/III.
REMEDIATION: Compile the Annex IV technical file under version control, linked to the Model Registry artifact hash and data manifest. Use the D4 audit, D6 model card and D5 register as inputs, and keep the file current for every model version. The notified body needs it before conformity assessment, so this blocks CE marking.</t>
        </is>
      </c>
    </row>
    <row r="18" ht="261" customHeight="1">
      <c r="A18" s="11" t="inlineStr">
        <is>
          <t>Art. 12</t>
        </is>
      </c>
      <c r="B18" s="11" t="inlineStr">
        <is>
          <t>Record-Keeping</t>
        </is>
      </c>
      <c r="C18" s="11" t="inlineStr">
        <is>
          <t>Automatic logging of inference activity for post-market traceability</t>
        </is>
      </c>
      <c r="D18" s="26" t="inlineStr">
        <is>
          <t>Partially Met</t>
        </is>
      </c>
      <c r="E18" s="26" t="inlineStr">
        <is>
          <t>Medium</t>
        </is>
      </c>
      <c r="F18" s="26" t="inlineStr">
        <is>
          <t>EVIDENCE OF COMPLIANCE: Component 6 logs every request, response, clinician override and drift metric, with 7-year retention. That exceeds the Art. 19 minimum of 6 months and supports Art. 72.
GAPS: The log schema is not mapped to Art. 12(2) (identifying risk situations or substantial modifications, post-market monitoring, deployer monitoring). Per-inference tagging of model version and clinician ID is unconfirmed. Logs have no integrity or tamper-evidence controls. Keeping identifiable feature vectors for 7 years conflicts with GDPR minimisation unless it is justified and the data is pseudonymised.
REMEDIATION: Map log fields to Art. 12(2)(a)-(c). Stamp each record with model version, threshold and clinician. Use WORM or hash-chained storage with restricted access. Pseudonymise patient IDs in monitoring logs. Document the retention justification in the DPIA.</t>
        </is>
      </c>
    </row>
    <row r="19" ht="306" customHeight="1">
      <c r="A19" s="11" t="inlineStr">
        <is>
          <t>Art. 13</t>
        </is>
      </c>
      <c r="B19" s="11" t="inlineStr">
        <is>
          <t>Transparency to Users</t>
        </is>
      </c>
      <c r="C19" s="11" t="inlineStr">
        <is>
          <t>Sufficient transparency for the user (clinician) to interpret the output appropriately</t>
        </is>
      </c>
      <c r="D19" s="26" t="inlineStr">
        <is>
          <t>Not Met</t>
        </is>
      </c>
      <c r="E19" s="26" t="inlineStr">
        <is>
          <t>High</t>
        </is>
      </c>
      <c r="F19" s="26" t="inlineStr">
        <is>
          <t>EVIDENCE OF GAP: The dashboard shows only a 'rough explanation, not full SHAP', and there are no Instructions for Use. Art. 13(3) requires:
- intended purpose
- accuracy metrics and their levels, including for specific groups (Art. 13(3)(b)(v))
- known limitations (worse FNR for Rural, Uninsured, Medicaid and young patients; a population not representative of the US)
- foreseeable misuse
- input-data specifications
- oversight measures
- how to interpret the output
REMEDIATION: Publish IFU and a clinician-facing model card (D6) that disclose overall and subgroup performance and limitations. Replace the rough explanation with validated per-patient SHAP top factors, checked for fidelity. Show an inline caution when a patient belongs to a subgroup with higher FNR. State plainly that a 'not high-risk' result does not rule out diabetes.</t>
        </is>
      </c>
    </row>
    <row r="20" ht="261" customHeight="1">
      <c r="A20" s="11" t="inlineStr">
        <is>
          <t>Art. 14</t>
        </is>
      </c>
      <c r="B20" s="11" t="inlineStr">
        <is>
          <t>Human Oversight</t>
        </is>
      </c>
      <c r="C20" s="11" t="inlineStr">
        <is>
          <t>Designed to allow effective human oversight during use</t>
        </is>
      </c>
      <c r="D20" s="26" t="inlineStr">
        <is>
          <t>Partially Met</t>
        </is>
      </c>
      <c r="E20" s="26" t="inlineStr">
        <is>
          <t>High</t>
        </is>
      </c>
      <c r="F20" s="26" t="inlineStr">
        <is>
          <t>EVIDENCE OF COMPLIANCE: A clinician reviews every prediction, and the dashboard has a sign-off step.
GAPS: The Art. 14(4)(a)-(c) measures are missing: no clinician training on capabilities and limits, no automation-bias controls, and no display of uncertainty. The main failure mode is a false 'not high-risk' result. Clinicians rarely question a reassuring score, so the human check is weakest exactly where subgroup FNR is highest. Deployer guidance under Art. 26 (competent oversight staff) has not been issued.
REMEDIATION: Make clinician training mandatory, with sign-off. Show a calibrated probability band and a borderline-zone flag instead of just a binary label. Add subgroup caution prompts, and prompt clinicians to apply standard screening criteria (e.g., ADA/FINDRISC) to negative results. Track override and concordance rates by subgroup as a KRI. Give deployers an oversight SOP.</t>
        </is>
      </c>
    </row>
    <row r="21" ht="216" customHeight="1">
      <c r="A21" s="11" t="inlineStr">
        <is>
          <t>Art. 14</t>
        </is>
      </c>
      <c r="B21" s="11" t="inlineStr">
        <is>
          <t>Override Capability</t>
        </is>
      </c>
      <c r="C21" s="11" t="inlineStr">
        <is>
          <t>Enable the deployer to override or reverse the AI output</t>
        </is>
      </c>
      <c r="D21" s="26" t="inlineStr">
        <is>
          <t>Partially Met</t>
        </is>
      </c>
      <c r="E21" s="26" t="inlineStr">
        <is>
          <t>Medium</t>
        </is>
      </c>
      <c r="F21" s="26" t="inlineStr">
        <is>
          <t>EVIDENCE OF COMPLIANCE: Clinicians can disagree with the score, and overrides are logged (Art. 14(4)(d)).
GAPS: There is no documented 'stop' / suspend capability for the deployer or provider (Art. 14(4)(e)), such as a kill-switch per hospital or per model version. Override reasons are not captured in a structured form. Overrides flow straight into retraining data without review, which creates a feedback loop and a poisoning path (see Art. 15).
REMEDIATION: Build and test a per-tenant kill-switch with rollback to the previous model version. Add structured override-reason codes. Put a human-reviewed quarantine step in front of any override data used for retraining. Show the evidence in a runbook and a tested drill.</t>
        </is>
      </c>
    </row>
    <row r="22" ht="276" customHeight="1">
      <c r="A22" s="11" t="inlineStr">
        <is>
          <t>Art. 15</t>
        </is>
      </c>
      <c r="B22" s="11" t="inlineStr">
        <is>
          <t>Accuracy</t>
        </is>
      </c>
      <c r="C22" s="11" t="inlineStr">
        <is>
          <t>Achieve an appropriate level of accuracy for the intended purpose</t>
        </is>
      </c>
      <c r="D22" s="26" t="inlineStr">
        <is>
          <t>Partially Met</t>
        </is>
      </c>
      <c r="E22" s="26" t="inlineStr">
        <is>
          <t>Critical</t>
        </is>
      </c>
      <c r="F22" s="26" t="inlineStr">
        <is>
          <t>EVIDENCE: Overall performance at threshold 0.26 is ROC AUC 0.812, recall 0.744 and precision 0.476. That is reasonable for a sensitivity-tuned screening aid.
GAPS: Accuracy is not appropriate for every group. Rural FNR is 37.8% and Uninsured FNR is 37.5%, against 22.7% for Urban and 20.8% for Medicare. Nothing compares performance with standard of care (e.g., FINDRISC or the ADA risk test), so the risk-appetite test ('not materially worse than standard of care') cannot be shown. No external validation has been done (brief Section 8). Accuracy levels are not declared in the IFU (Art. 15(3)).
REMEDIATION: Agree a subgroup-FNR acceptance criterion with the AI Review Board, e.g., no group's FNR worse than standard of care and a max/min FNR ratio of 1.25x or less. Re-validate after mitigation. Commission independent external validation on held-out EU sites, and on US sites before the US launch. Declare the metrics in the IFU.</t>
        </is>
      </c>
    </row>
    <row r="23" ht="276" customHeight="1">
      <c r="A23" s="11" t="inlineStr">
        <is>
          <t>Art. 15</t>
        </is>
      </c>
      <c r="B23" s="11" t="inlineStr">
        <is>
          <t>Robustness</t>
        </is>
      </c>
      <c r="C23" s="11" t="inlineStr">
        <is>
          <t>Resilient to errors, faults, inconsistencies, and adversarial inputs</t>
        </is>
      </c>
      <c r="D23" s="26" t="inlineStr">
        <is>
          <t>Partially Met</t>
        </is>
      </c>
      <c r="E23" s="26" t="inlineStr">
        <is>
          <t>High</t>
        </is>
      </c>
      <c r="F23" s="26" t="inlineStr">
        <is>
          <t>EVIDENCE OF COMPLIANCE: Drift metrics are captured, and the threshold is fixed and recorded with the model.
GAPS: No robustness testing has been done on missing or out-of-range inputs, stale insurance_type values, or a shift in population (EU to US). The pipeline's OneHotEncoder(handle_unknown='ignore') silently zeroes unseen categories, such as a new US insurance code, instead of failing safe. Drift has no alert thresholds. Feeding overrides into retraining with no controls creates biased feedback loops, which Art. 15(4) says must be addressed.
REMEDIATION: Validate the input schema and value ranges at the Inference API, and reject or flag unknown categories. Run a perturbation, missingness and category-shift test suite in CI. Turn drift metrics into KRIs with thresholds (D7). Add a governance gate for retraining (Art. 15(4)), and fall back safely to standard screening when inputs fail validation.</t>
        </is>
      </c>
    </row>
    <row r="24" ht="291" customHeight="1">
      <c r="A24" s="11" t="inlineStr">
        <is>
          <t>Art. 15</t>
        </is>
      </c>
      <c r="B24" s="11" t="inlineStr">
        <is>
          <t>Cybersecurity</t>
        </is>
      </c>
      <c r="C24" s="11" t="inlineStr">
        <is>
          <t>Cybersecurity measures appropriate to the risk level</t>
        </is>
      </c>
      <c r="D24" s="26" t="inlineStr">
        <is>
          <t>Partially Met</t>
        </is>
      </c>
      <c r="E24" s="26" t="inlineStr">
        <is>
          <t>High</t>
        </is>
      </c>
      <c r="F24" s="26" t="inlineStr">
        <is>
          <t>EVIDENCE OF COMPLIANCE: mTLS at the hospital edge, and rate limiting at 200 requests/min per hospital.
GAPS: The model ships as a joblib pickle. Loading it can execute arbitrary code, and nothing checks its integrity (a model-tampering / supply-chain risk). The Model Registry holds every training dataset, which makes it a high-value target. Unvetted override feedback is a data-poisoning path (ATLAS AML.T0020). The inference API allows high-volume querying, which enables model extraction or inversion. No AI-specific pen test or red-team exercise has been done.
REMEDIATION: Sign artifacts and verify their hash at load time, or move to a safe format (skops/ONNX). Apply least-privilege RBAC and audit logging to the registry, and encrypt training data. Add poisoning controls on feedback data. Detect anomalous query patterns and tighten per-client quotas. Before launch, run an AI red-team exercise against the D3 ATLAS TTPs, and produce an SBOM for dependencies.</t>
        </is>
      </c>
    </row>
    <row r="26" ht="22" customHeight="1">
      <c r="A26" s="8" t="inlineStr">
        <is>
          <t>SECTION C: Summary of Key Gaps</t>
        </is>
      </c>
    </row>
    <row r="27" ht="355" customHeight="1">
      <c r="A27" s="26" t="inlineStr">
        <is>
          <t>1) SUBGROUP UNDER-DETECTION (Art. 10 data governance + Art. 15 accuracy). CRITICAL, LAUNCH-BLOCKING.
Why it blocks: Patient-safety appetite is LOW. The Board will not deploy a system whose 'foreseeable failure modes can produce a missed diagnosis or delayed referral for any identifiable patient subgroup at a rate materially worse than standard of care.' HealthGuard misses 37.8% of true diabetes cases in Rural patients and 37.5% in Uninsured patients, against about 21-23% for Urban and Medicare patients. The cause is identifiable: region and insurance_type act as socio-economic proxies, and the training labels carry historical under-diagnosis that the synthetic data copies. Human oversight cannot make up for this, because clinicians are least likely to question a reassuring 'not high-risk' result.
To clear: Mitigate the bias (remove or justify the proxy features, reweight or set per-group thresholds, audit the labels). Then show through independent external validation that every subgroup's FNR is within the Board-approved tolerance (e.g., a max/min ratio of 1.25x or less) and no worse than a standard-of-care baseline such as FINDRISC. A US-representative validation is a separate gate before the US launch.
2) NO LAWFUL ROUTE TO MARKET: MDR qualification, conformity assessment and technical documentation (Art. 6(1), 9, 11, 17, 43). CRITICAL, LAUNCH-BLOCKING.
Why it blocks: Appetite for regulatory non-compliance is LOW. The Board 'will not deploy a system that we know to be non-compliant.' HealthGuard is high-risk via Annex I/MDR. It cannot be placed on the EU market without a QMS, an Annex IV technical file, a documented RMS, notified-body conformity assessment, a declaration of conformity, CE marking and EU database registration. The partial-compliance exception does not apply here. No compensating control can stand in for a missing conformity assessment, and launching without one is a regulator-reportable event (reputational appetite: LOW).
To clear: Obtain a formal MDR qualification and classification opinion (expect Class IIa) and engage a notified body. Complete the Annex IV/MDR technical file, the RMS and the QMS. Pass conformity assessment, then sign the DoC and register the system before the first EU patient is scored.
3) TRANSPARENCY AND HUMAN OVERSIGHT DO NOT WORK (Art. 13 + Art. 14). HIGH; BLOCKS LAUNCH BECAUSE IT IS THE COMPENSATING CONTROL.
Why it blocks: The Board's 'partial compliance with an approved compensating control' route would rely on clinician review to accept any residual subgroup risk. Today that control is not effective. Clinicians get no IFU and no subgroup performance figures or limitations, only a rough explanation. They have no training and no safeguards against automation bias, and overrides go straight into retraining.
To clear: Issue an IFU and model card that disclose subgroup FNR and limitations. Ship validated per-patient explanations and subgroup caution flags, and deliver mandatory clinician training. Track override and concordance KRIs by subgroup. Have a tested kill-switch and rollback, and a review gate before override data is used for retraining.
Next tier (must-fix, but can be fixed after launch under a dated plan): Art. 15 cybersecurity (unsigned pickle artifact, registry access, poisoning via feedback), Art. 10(5)/GDPR safeguards (DPIA, privacy testing of the synthetic data, cross-border telemetry), and Art. 12 log integrity.</t>
        </is>
      </c>
      <c r="B27" s="5" t="n"/>
      <c r="C27" s="5" t="n"/>
      <c r="D27" s="5" t="n"/>
      <c r="E27" s="5" t="n"/>
      <c r="F27" s="6" t="n"/>
    </row>
  </sheetData>
  <mergeCells count="6">
    <mergeCell ref="A2:F2"/>
    <mergeCell ref="A1:F1"/>
    <mergeCell ref="A27:F27"/>
    <mergeCell ref="A12:F12"/>
    <mergeCell ref="A4:F4"/>
    <mergeCell ref="A26:F2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6" customWidth="1" min="1" max="1"/>
    <col width="26" customWidth="1" min="2" max="2"/>
    <col width="26" customWidth="1" min="3" max="3"/>
    <col width="46" customWidth="1" min="4" max="4"/>
    <col width="42" customWidth="1" min="5" max="5"/>
    <col width="12" customWidth="1" min="6" max="6"/>
    <col width="62" customWidth="1" min="7" max="7"/>
  </cols>
  <sheetData>
    <row r="1" ht="32" customHeight="1">
      <c r="A1" s="27" t="inlineStr">
        <is>
          <t>D2 — Data Flow Compliance Map (GDPR / CPRA)</t>
        </is>
      </c>
    </row>
    <row r="2" ht="24" customHeight="1">
      <c r="A2" s="24" t="inlineStr">
        <is>
          <t>Annotate the pre-drawn Data Flow Diagram (data/data_flow_diagram.png) with compliance obligations at each stage. Yellow cells are your inputs.</t>
        </is>
      </c>
      <c r="B2" s="5" t="n"/>
      <c r="C2" s="5" t="n"/>
      <c r="D2" s="5" t="n"/>
      <c r="E2" s="5" t="n"/>
      <c r="F2" s="5" t="n"/>
      <c r="G2" s="6" t="n"/>
    </row>
    <row r="4" ht="22" customHeight="1">
      <c r="A4" s="8" t="inlineStr">
        <is>
          <t>SECTION A: Per-Stage Compliance Obligation Map</t>
        </is>
      </c>
    </row>
    <row r="5" ht="28" customHeight="1">
      <c r="A5" s="28" t="inlineStr">
        <is>
          <t>Stage</t>
        </is>
      </c>
      <c r="B5" s="28" t="inlineStr">
        <is>
          <t>Component / Description</t>
        </is>
      </c>
      <c r="C5" s="28" t="inlineStr">
        <is>
          <t>Data Involved</t>
        </is>
      </c>
      <c r="D5" s="28" t="inlineStr">
        <is>
          <t>GDPR Obligation</t>
        </is>
      </c>
      <c r="E5" s="28" t="inlineStr">
        <is>
          <t>CPRA Obligation</t>
        </is>
      </c>
      <c r="F5" s="28" t="inlineStr">
        <is>
          <t>Status</t>
        </is>
      </c>
      <c r="G5" s="28" t="inlineStr">
        <is>
          <t>Notes</t>
        </is>
      </c>
    </row>
    <row r="6" ht="186" customHeight="1">
      <c r="A6" s="11" t="inlineStr">
        <is>
          <t>1</t>
        </is>
      </c>
      <c r="B6" s="11" t="inlineStr">
        <is>
          <t>Hospital EHR (origination)</t>
        </is>
      </c>
      <c r="C6" s="11" t="inlineStr">
        <is>
          <t>Identifiable patient records: demographics, clinical, insurance</t>
        </is>
      </c>
      <c r="D6" s="26" t="inlineStr">
        <is>
          <t>The hospital is the controller. Lawful basis: Art. 6(1)(e)/(c) plus Art. 9(2)(h) (provision of health care), with any national health-data conditions under Art. 9(4) for records arriving via cross-border registries.
Arts 13/14: patient notices must cover AI risk scoring and name Klariova as a recipient.
Art. 28(3): the DPA with Klariova.
Art. 35: DPIA (large-scale health data, new technology, profiling), with Klariova assisting under Art. 28(3)(f).</t>
        </is>
      </c>
      <c r="E6" s="26" t="inlineStr">
        <is>
          <t>Patient PHI held by the CA hospital is exempt from CCPA/CPRA (Civ. Code §1798.146(a)(1)(A)). It falls under HIPAA and CMIA (Civ. Code §56.10) instead, so a HIPAA BAA is required (45 CFR §164.502(e), §164.504(e)).
CPRA still covers non-PHI personal information, such as clinician users: the hospital gives notice at collection under §1798.100(a).</t>
        </is>
      </c>
      <c r="F6" s="26" t="inlineStr">
        <is>
          <t>Gap</t>
        </is>
      </c>
      <c r="G6" s="26" t="inlineStr">
        <is>
          <t>MET: the DPA exists, and consent management is assigned to the hospital.
GAP: Klariova has no evidence that (a) each EU hospital's privacy notice covers AI risk scoring, (b) hospital DPIAs exist, or (c) US BAAs are signed and allow EU sub-processing. Having no consent capture is acceptable for treatment under Art. 9(2)(h) and HIPAA treatment/payment/operations, but it does NOT cover secondary use for retraining (see stage 7).
CLOSE: add a DPA annex requiring notice wording and a DPIA attestation from each hospital. Execute a BAA with each US IDN before go-live. Check data from cross-border registries against national health-data law (Art. 9(4)).</t>
        </is>
      </c>
    </row>
    <row r="7" ht="141" customHeight="1">
      <c r="A7" s="11" t="inlineStr">
        <is>
          <t>2</t>
        </is>
      </c>
      <c r="B7" s="11" t="inlineStr">
        <is>
          <t>Component 1 — Data Ingestion</t>
        </is>
      </c>
      <c r="C7" s="11" t="inlineStr">
        <is>
          <t>Raw FHIR records in transit</t>
        </is>
      </c>
      <c r="D7" s="26" t="inlineStr">
        <is>
          <t>Art. 32 / Art. 28(3)(c): security of processing (mTLS gives authenticated encryption in transit).
Art. 5(1)(c): minimisation. Whole FHIR records arrive, but the model uses 13 fields.
Art. 5(1)(e): retention in the Kafka buffer.
Art. 33(2): the processor notifies the controller of a breach without undue delay.
Art. 30(2): the processor's record of processing.</t>
        </is>
      </c>
      <c r="E7" s="26" t="inlineStr">
        <is>
          <t>PHI is exempt (§1798.146), so the HIPAA Security Rule applies: transmission security §164.312(e)(1) and audit controls §164.312(b).
For any non-exempt PI: reasonable security (§1798.100(e)), the private right of action for breach (§1798.150), and minimisation (§1798.100(c)).</t>
        </is>
      </c>
      <c r="F7" s="26" t="inlineStr">
        <is>
          <t>Gap</t>
        </is>
      </c>
      <c r="G7" s="26" t="inlineStr">
        <is>
          <t>MET: mTLS mutual authentication at the hospital edge.
GAP: hospitals push full patient records every 15 min, which is more than the model needs. Kafka topic encryption at rest, ACLs and retention are not documented.
CLOSE: set a field allow-list for FHIR resources so only the required Patient/Observation elements are pushed. Encrypt Kafka at rest, add per-topic ACLs and limit retention to 7 days or less. Write a breach-notification SLA (24h or less to the controller) into the DPA and BAA.</t>
        </is>
      </c>
    </row>
    <row r="8" ht="171" customHeight="1">
      <c r="A8" s="11" t="inlineStr">
        <is>
          <t>3</t>
        </is>
      </c>
      <c r="B8" s="11" t="inlineStr">
        <is>
          <t>Component 2 — Preprocessing</t>
        </is>
      </c>
      <c r="C8" s="11" t="inlineStr">
        <is>
          <t>Clinical + insurance + demographic features</t>
        </is>
      </c>
      <c r="D8" s="26" t="inlineStr">
        <is>
          <t>Art. 5(1)(a) fairness.
Art. 5(1)(b) purpose limitation: data from the billing system is reused for clinical prediction.
Art. 5(1)(c) minimisation: insurance_type and region have no clinical rationale.
Art. 5(1)(d) accuracy: insurance_type may be stale.
Art. 25 data protection by design.
Art. 16: rectifications made at the source must flow through.</t>
        </is>
      </c>
      <c r="E8" s="26" t="inlineStr">
        <is>
          <t>PHI is exempt (§1798.146), so the HIPAA minimum-necessary standard applies (§164.502(b)).
For non-exempt PI: processing must be reasonably necessary and proportionate (§1798.100(c)), consumers have a right to correct (§1798.106), and health data is sensitive PI (§1798.140(ae)).</t>
        </is>
      </c>
      <c r="F8" s="26" t="inlineStr">
        <is>
          <t>Gap</t>
        </is>
      </c>
      <c r="G8" s="26" t="inlineStr">
        <is>
          <t>GAP: joining insurance_type (from billing, possibly out of date) and region adds socio-economic proxies with no clinical need. D1/D4 show these features track the FNR disparity: Rural 37.8% and Uninsured 37.5%, vs 22.7% Urban and 20.8% Medicare. Feeding inaccurate data into a health decision breaches Art. 5(1)(d) and the fairness principle in Art. 5(1)(a).
CLOSE: drop insurance_type and region from the feature set, or document a necessity test in the DPIA. If either is kept, add a freshness check against the billing-change date with an 'unknown' fallback. Flag imputed values. Pass corrections from the hospital's systems through to the pipeline.</t>
        </is>
      </c>
    </row>
    <row r="9" ht="171" customHeight="1">
      <c r="A9" s="11" t="inlineStr">
        <is>
          <t>4</t>
        </is>
      </c>
      <c r="B9" s="11" t="inlineStr">
        <is>
          <t>Component 3 — Inference API</t>
        </is>
      </c>
      <c r="C9" s="11" t="inlineStr">
        <is>
          <t>Feature vector, output probability, binary classification</t>
        </is>
      </c>
      <c r="D9" s="26" t="inlineStr">
        <is>
          <t>Art. 22 / Art. 4(4) profiling: the decision is not solely automated because a clinician reviews it. But in CJEU C-634/21 (SCHUFA), a score that a third party 'draws strongly on' was itself treated as the decision, so the human review must be meaningful.
Arts 13(2)(f)/14(2)(g)/15(1)(h): meaningful information about the logic (delivered via the hospital).
Art. 35(3)(a): a DPIA is mandatory.
Art. 32: API security.</t>
        </is>
      </c>
      <c r="E9" s="26" t="inlineStr">
        <is>
          <t>PHI is exempt, so HIPAA applies.
For any non-exempt PI, the CCPA regulations apply from 2027. ADMT rules (11 CCR §7200 et seq.; 'significant decisions' include healthcare services) require a pre-use notice, opt-out or human appeal, and access. A risk assessment is also required (11 CCR §7150).</t>
        </is>
      </c>
      <c r="F9" s="26" t="inlineStr">
        <is>
          <t>Gap</t>
        </is>
      </c>
      <c r="G9" s="26" t="inlineStr">
        <is>
          <t>MET: rate limit of 200 req/min per hospital; the output goes only to the clinician.
GAP: there is no DPIA. Controllers get no plain-language explanation of the logic to put in their notices. Nothing shows the human review is meaningful (no override-rate monitoring). Authorisation stops at hospital level, with no per-user check.
CLOSE: write a DPIA led by Klariova for hospitals to adopt. Publish a plain-language logic notice. Track override and concordance rates as a KRI to show the review is real. Add per-user OAuth scopes and log the purpose of each call.</t>
        </is>
      </c>
    </row>
    <row r="10" ht="186" customHeight="1">
      <c r="A10" s="11" t="inlineStr">
        <is>
          <t>5</t>
        </is>
      </c>
      <c r="B10" s="11" t="inlineStr">
        <is>
          <t>Prediction database (storage)</t>
        </is>
      </c>
      <c r="C10" s="11" t="inlineStr">
        <is>
          <t>Predictions + patient identifiers, by region</t>
        </is>
      </c>
      <c r="D10" s="26" t="inlineStr">
        <is>
          <t>Art. 5(1)(e) storage limitation: patient identifiers and feature vectors are kept 7 years.
Art. 5(1)(c) minimisation.
Art. 32: encryption at rest, RBAC, pseudonymisation.
Art. 28(3)(e): Klariova helps the controller answer requests under Arts 15-17 and 21.
Art. 28(3)(g): data is deleted or returned when the contract ends.
Art. 30: record of processing.
Regional residency avoids a Chapter V transfer for EU data.</t>
        </is>
      </c>
      <c r="E10" s="26" t="inlineStr">
        <is>
          <t>Retention period must be disclosed (§1798.100(a)(3)); minimisation (§1798.100(c)); deletion right (§1798.105, for non-exempt PI); breach liability (§1798.150).
HIPAA: encryption (§164.312(a)(2)(iv)) and access logging (§164.312(b)).</t>
        </is>
      </c>
      <c r="F10" s="26" t="inlineStr">
        <is>
          <t>Gap</t>
        </is>
      </c>
      <c r="G10" s="26" t="inlineStr">
        <is>
          <t>MET: data stays in its region (EU in Frankfurt, US in AWS US-East).
GAP: patient identifiers and full feature vectors are kept for 7 years. EU AI Act Art. 72 requires a post-market monitoring system, not 7 years of identifiable data, and Art. 19 sets a minimum of 6 months for logs. There is no erasure workflow and no retention schedule.
CLOSE: split the store. Keep identifiable predictions under each hospital's medical-record retention policy (the controller decides). Keep the monitoring copy pseudonymised, with tokenised patient IDs and the keys held by the hospital. Document a retention schedule, an erasure/DSAR workflow, KMS encryption, RBAC and access logging.</t>
        </is>
      </c>
    </row>
    <row r="11" ht="171" customHeight="1">
      <c r="A11" s="11" t="inlineStr">
        <is>
          <t>6</t>
        </is>
      </c>
      <c r="B11" s="11" t="inlineStr">
        <is>
          <t>Component 4 — Clinician Dashboard</t>
        </is>
      </c>
      <c r="C11" s="11" t="inlineStr">
        <is>
          <t>Prediction display + override capture</t>
        </is>
      </c>
      <c r="D11" s="26" t="inlineStr">
        <is>
          <t>Arts 5(1)(f) and 32: access control (treating clinician only) and an audit trail.
Art. 25(2): data protection by default (show only the data the decision needs).
Art. 22(3) and Recital 71: meaningful human intervention.
Arts 6 and 88, plus Art. 13 notice to clinicians: per-clinician override data is processing of staff data.
Art. 5(1)(b): override data is reused for retraining.</t>
        </is>
      </c>
      <c r="E11" s="26" t="inlineStr">
        <is>
          <t>Clinicians' PI has been fully in CPRA scope since 1 Jan 2023. The hospital gives notice at collection (§1798.100(a)). Klariova acts as a service provider (§1798.140(ag)) under a contract meeting §1798.100(d). Clinicians have rights under §1798.105, §1798.106 and §1798.110.
Patient PHI on screen falls under HIPAA minimum necessary and access logging (§164.312(b)).</t>
        </is>
      </c>
      <c r="F11" s="26" t="inlineStr">
        <is>
          <t>Gap</t>
        </is>
      </c>
      <c r="G11" s="26" t="inlineStr">
        <is>
          <t>MET: there is a human sign-off step, and overrides are logged.
GAP: RBAC, a care-relationship check and break-glass access are not described. Per-clinician override data is a new processing of staff data with no stated purpose or limit, so it could end up used for performance management. The dashboard shows 'patient history' beyond what the decision needs.
CLOSE: check role and care relationship before showing a patient, with break-glass access that is reviewed afterwards. Restrict override data to model-quality use and aggregate reporting. Give clinicians a privacy notice. Reduce the patient history shown.</t>
        </is>
      </c>
    </row>
    <row r="12" ht="201" customHeight="1">
      <c r="A12" s="11" t="inlineStr">
        <is>
          <t>7</t>
        </is>
      </c>
      <c r="B12" s="11" t="inlineStr">
        <is>
          <t>Component 5 — Model Registry</t>
        </is>
      </c>
      <c r="C12" s="11" t="inlineStr">
        <is>
          <t>Model artifacts + training-data manifests</t>
        </is>
      </c>
      <c r="D12" s="26" t="inlineStr">
        <is>
          <t>Klariova decides the purposes of model development, so for that purpose it is the controller (Art. 4(7); Art. 28(10)). It therefore needs its own basis under Art. 6 and Art. 9(2)(j) with Art. 89(1) safeguards, or explicit consent under Art. 9(2)(a).
Art. 6(4): compatibility test for reusing inference and override data.
Recital 26 and EDPB Opinion 28/2024: models and synthetic data are not automatically anonymous.
Art. 5(1)(e): every dataset is kept indefinitely.
Art. 32.</t>
        </is>
      </c>
      <c r="E12" s="26" t="inlineStr">
        <is>
          <t>De-identified patient information is exempt only if it meets HIPAA de-identification (§164.514(b)) and the contract terms in §1798.146(a)(4). Re-identification is prohibited (§1798.148). The privacy policy must disclose it (§1798.130(a)(5)).
HIPAA: a BA may use PHI for model development only if its BAA permits that use.</t>
        </is>
      </c>
      <c r="F12" s="26" t="inlineStr">
        <is>
          <t>Gap</t>
        </is>
      </c>
      <c r="G12" s="26" t="inlineStr">
        <is>
          <t>MET: Source 1 has explicit opt-in for secondary use, and the manifest hash is recorded.
GAP: (a) override and inference data fed back for retraining has no secondary-use basis and is outside the processor mandate. (b) Synthetic Source 2 has not been tested for re-identification or memorisation. (c) Every dataset ever used is kept indefinitely in one store. (d) Access control is not documented.
CLOSE: decide Klariova's role, then amend the DPA/BAA or set up an Art. 26 joint-controller arrangement. Run an Art. 6(4) / 9(2)(j) assessment, or collect opt-in. Run membership-inference and distance-to-closest-record tests before calling the synthetic data anonymous. Keep manifests and hashes but delete raw datasets after a set period. Add RBAC, encryption and an audit log to the registry.</t>
        </is>
      </c>
    </row>
    <row r="13" ht="171" customHeight="1">
      <c r="A13" s="11" t="inlineStr">
        <is>
          <t>8</t>
        </is>
      </c>
      <c r="B13" s="11" t="inlineStr">
        <is>
          <t>US → EU telemetry (cross-border)</t>
        </is>
      </c>
      <c r="C13" s="11" t="inlineStr">
        <is>
          <t>Request metadata for drift monitoring</t>
        </is>
      </c>
      <c r="D13" s="26" t="inlineStr">
        <is>
          <t>Art. 3(1): Frankfurt processing happens in the context of Klariova's EU establishment, so GDPR applies even to US patients' data.
Arts 4(1)/4(5) and Recital 26: request metadata that can be linked to the US prediction DB is pseudonymised personal (health-derived) data.
Chapter V (Arts 44-46) does NOT apply to the US→EU leg, but DOES apply to any EU→US return flow. Those need DPF adequacy (Art. 45) or SCCs (Art. 46(2)(c)).
Arts 28, 30(2) and 32 apply.</t>
        </is>
      </c>
      <c r="E13" s="26" t="inlineStr">
        <is>
          <t>CPRA has no transfer restriction, but the service-provider contract must cover offshore processing (§1798.100(d), §1798.140(ag)).
If the data is PHI: a HIPAA subcontractor BAA between Klariova Inc. (US) and Klariova Ltd (EU) (§164.502(e)(1)(ii), §164.504(e)(2)(ii)(D)), plus CMIA §56.10.
Texas SB 1188 (2025) requires Texas patients' EHR to be stored in the US. Confirm the telemetry is out of scope.</t>
        </is>
      </c>
      <c r="F13" s="26" t="inlineStr">
        <is>
          <t>Gap</t>
        </is>
      </c>
      <c r="G13" s="26" t="inlineStr">
        <is>
          <t>GAP: nobody has tested the 'metadata, not full records' claim. Hospital ID, timestamp, request or patient ID and feature-drift statistics can be linked back to a patient and are derived from health data. There is no identifiability assessment, no RoPA entry, no intra-group BAA or DPA, and no transfer mechanism for return flows (alerts or dashboards viewed from Boston).
CLOSE: see Section B. In short: send aggregate statistics only, register DPF plus SCCs Module 4, sign an intra-group subcontractor BAA, and update the RoPA.</t>
        </is>
      </c>
    </row>
    <row r="15" ht="22" customHeight="1">
      <c r="A15" s="8" t="inlineStr">
        <is>
          <t>SECTION B: Cross-Border Transfer Analysis (EU ↔ US)</t>
        </is>
      </c>
    </row>
    <row r="16" ht="190" customHeight="1">
      <c r="A16" s="26" t="inlineStr">
        <is>
          <t>1) WHAT FLOWS. For drift monitoring, inference request metadata from AWS US-East goes to the Frankfurt data centre: hospital ID, timestamps, model version, request/patient IDs, feature-value distributions and latency. Klariova also holds the US prediction database that maps request IDs to patients. That makes this metadata pseudonymised personal data, and because it describes clinical feature values it is health data (GDPR Arts 4(1), 4(5), 4(15); Recital 26). Not being 'full patient records' does not make it anonymous. Klariova can re-identify it, so the SRB v EDPS (C-413/23 P) recipient-perspective argument does not help.
2) IS IT A GDPR TRANSFER? The US→EU leg is NOT a Chapter V transfer, because Chapter V regulates exports OUT of the EEA. But once the data is in Frankfurt it is processed in the context of Klariova's EU establishment, so GDPR applies in full (Art. 3(1)): processor terms, Art. 32 security, Art. 30 records, Art. 33 breach handling, and requests from US data subjects. Chapter V IS triggered by the return legs: drift alerts or reports sent to the US, monitoring dashboards opened from Boston, remote access to Frankfurt by US-subsidiary engineers, and any onward sharing with US hospitals.
3) MECHANISM. Primary: the EU-US Data Privacy Framework adequacy decision (Art. 45; in force since 10 Jul 2023; upheld by the General Court in Latombe, T-553/23, Sep 2025). This requires Klariova Health Inc. to self-certify with the US Dept. of Commerce. Fallback, given the political risk to the DPF: 2021 SCCs (Decision 2021/914) in an intra-group data-transfer agreement. Use Module 4 (EU processor → non-EU controller) where Frankfurt sends US hospitals' own data back to them. Use Module 1/2 where Klariova Ltd, as controller for AI Act Art. 72 post-market monitoring, shares data with Klariova Inc. BCRs are disproportionate for a group of two entities.
4) TRANSFER IMPACT ASSESSMENT. NOT legally required for the US→EU leg, because there is no Chapter V transfer. REQUIRED (Schrems II C-311/18; SCC Clause 14; EDPB Recommendations 01/2020) for any EU→US return that relies on SCCs. Under Module 4, Clause 14 applies only if the EU processor combines the US data with data it collected in the EU, and pooled EU+US drift monitoring will do that. No TIA is needed while relying on DPF adequacy. Recommendation: document a short TIA now anyway, relying on EO 14086 and the Data Protection Review Court, so the SCC fallback is ready the day the DPF falls.</t>
        </is>
      </c>
      <c r="B16" s="5" t="n"/>
      <c r="C16" s="5" t="n"/>
      <c r="D16" s="5" t="n"/>
      <c r="E16" s="5" t="n"/>
      <c r="F16" s="5" t="n"/>
      <c r="G16" s="6" t="n"/>
    </row>
    <row r="17" ht="220" customHeight="1">
      <c r="A17" s="26" t="inlineStr">
        <is>
          <t>5) US-SIDE LAWFULNESS. The flow must also be lawful under US law. That needs a HIPAA subcontractor BAA between Klariova Inc. and Klariova Ltd (45 CFR §164.502(e)(1)(ii), §164.504(e)(2)(ii)(D)), and hospital BAAs that allow offshore processing (many IDN BAAs forbid it). It also needs the CMIA §56.10 disclosure rules for the CA hospital, confirmation that the Texas SB 1188 requirement to store EHR in the US does not reach the telemetry, and CPRA service-provider terms (§1798.100(d)) for any PI that is not PHI.
6) MINIMISE FIRST. This is the best control. Send aggregate drift statistics instead of per-request rows: per-feature histograms and PSI per hospital per day, with a minimum cell size of 20 or more. Drop patient and request IDs. If per-request data really is needed, tokenise it with keys held only in US-East. Truly aggregate statistics are no longer personal data, which removes most of points 2-5.
7) ARTICLE 30 RoPA UPDATE. Add a processing activity called 'Model-drift monitoring of US inference telemetry', recording:
- Klariova's role: processor for the US hospitals, or controller for AI Act Art. 72 post-market monitoring (this needs deciding).
- The names of the controllers.
- Data subjects: US patients, and US clinicians if user IDs are included.
- Data categories: pseudonymised request metadata and health-derived feature statistics.
- Recipients: Klariova Inc. staff.
- Third-country transfers and their mechanism: DPF / SCCs Module 4.
- Retention period, and the Art. 32 measures.
Mirror the entry in the processor record (Art. 30(2)) and the HIPAA asset inventory, and reference it in the DPIA.</t>
        </is>
      </c>
      <c r="B17" s="5" t="n"/>
      <c r="C17" s="5" t="n"/>
      <c r="D17" s="5" t="n"/>
      <c r="E17" s="5" t="n"/>
      <c r="F17" s="5" t="n"/>
      <c r="G17" s="6" t="n"/>
    </row>
    <row r="18" ht="22" customHeight="1">
      <c r="A18" s="8" t="inlineStr">
        <is>
          <t>SECTION C: Top 5 Compliance Risks (carry to D5)</t>
        </is>
      </c>
    </row>
    <row r="19" ht="400" customHeight="1">
      <c r="A19" s="26" t="inlineStr">
        <is>
          <t>Ranked by suggested D5 score (Likelihood × Impact, 1-5 scale). Each is carried into D5 as a row.
C1. SECONDARY USE OF CLINICAL DATA FOR RETRAINING WITHOUT A LAWFUL BASIS (stages 6-7). L4 × I4 = 16. Privacy/Regulatory · Govern.
Inference outputs and clinician overrides go into the Model Registry for retraining. That is a new purpose, outside Klariova's processor mandate (GDPR Arts 5(1)(b), 6(4), 9(2)(j), 28(10)) and probably outside HIPAA BA permitted uses. It would make Klariova a controller with no lawful basis for EU and US data alike.
Control: a formal role decision and DPA/BAA amendment (or an Art. 26 joint-controller arrangement); an Art. 6(4) / 9(2)(j) + 89(1) assessment; quarantine all override data until a basis exists.
C2. INACCURATE AND UNNECESSARY SOCIO-ECONOMIC DATA IN HEALTH PROFILING (stage 3). L4 × I4 = 16. Fairness/Privacy · Map/Measure.
insurance_type (stale billing data) and region are processed with no clinical necessity, and they drive the subgroup FNR gap (Rural 37.8%, Uninsured 37.5%). This breaches the GDPR principles of fairness, minimisation and accuracy (Art. 5(1)(a), (c), (d)) and data protection by design (Art. 25). It is the same root cause as D1 gap #1.
Control: remove both features or justify them in the DPIA with a necessity test; add a freshness check and an 'unknown' fallback; re-run the D4 audit.
C3. NO DPIA AND NO PROFILING SAFEGUARDS (stages 1, 4). L5 × I3 = 15. Regulatory · Govern.
Large-scale profiling on health data makes a DPIA mandatory (Art. 35(3)(a)), and none exists. Patient notices do not explain the logic (Arts 13(2)(f), 14(2)(g)), and nothing shows the human review would satisfy SCHUFA (C-634/21). In California, any non-PHI data is caught by the CCPA risk-assessment and ADMT regulations (11 CCR §7150, §7200).
Control: a DPIA written by Klariova and adopted by each hospital before go-live; plain-language logic notice; override and concordance KRI as evidence of meaningful review.
C4. US→EU TELEMETRY TREATED AS NON-PERSONAL AND UNGOVERNED (stage 8). L3 × I4 = 12. Privacy · Govern.
The metadata can be linked back to patients and is derived from health data. GDPR applies in Frankfurt (Art. 3(1)). Return flows to the US have no DPF certification or SCCs, there is no HIPAA subcontractor BAA between the group companies, and the flow is not in the RoPA. Exposure: a GDPR Art. 83(5) fine of up to 4% of turnover, plus a HIPAA violation under the US hospitals' BAAs.
Control: aggregate-only telemetry; DPF self-certification plus SCCs Module 4 as fallback; a short TIA; a subcontractor BAA; a RoPA entry.
C5. OVER-COLLECTION AND OVER-RETENTION CONCENTRATE BREACH IMPACT (stages 2, 5, 7). L4 × I3 = 12. Privacy/Security · Manage.
Hospitals push full FHIR records. Identifiable feature vectors are kept for 7 years, and every training dataset ever used sits indefinitely in the registry (GDPR Art. 5(1)(c), (e) and Art. 32; CPRA §1798.100(a)(3), (c); breach liability under §1798.150).
Control: an allow-list of FHIR fields; a pseudonymised monitoring store; a documented retention schedule; KMS encryption, RBAC and access logging on the prediction DB and registry.</t>
        </is>
      </c>
      <c r="B19" s="5" t="n"/>
      <c r="C19" s="5" t="n"/>
      <c r="D19" s="5" t="n"/>
      <c r="E19" s="5" t="n"/>
      <c r="F19" s="5" t="n"/>
      <c r="G19" s="6" t="n"/>
    </row>
  </sheetData>
  <mergeCells count="8">
    <mergeCell ref="A1:G1"/>
    <mergeCell ref="A17:G17"/>
    <mergeCell ref="A18:G18"/>
    <mergeCell ref="A4:G4"/>
    <mergeCell ref="A16:G16"/>
    <mergeCell ref="A2:G2"/>
    <mergeCell ref="A15:G15"/>
    <mergeCell ref="A19:G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6" customWidth="1" min="1" max="1"/>
    <col width="14" customWidth="1" min="2" max="2"/>
    <col width="26" customWidth="1" min="3" max="3"/>
    <col width="26" customWidth="1" min="4" max="4"/>
    <col width="62" customWidth="1" min="5" max="5"/>
    <col width="62" customWidth="1" min="6" max="6"/>
    <col width="11" customWidth="1" min="7" max="7"/>
    <col width="9" customWidth="1" min="8" max="8"/>
  </cols>
  <sheetData>
    <row r="1" ht="32" customHeight="1">
      <c r="A1" s="29" t="inlineStr">
        <is>
          <t>D3 — MITRE ATLAS Threat Model (3 TTPs)</t>
        </is>
      </c>
    </row>
    <row r="2" ht="24" customHeight="1">
      <c r="A2" s="24" t="inlineStr">
        <is>
          <t>Identify the 3 most relevant ATLAS TTPs for HealthGuard. Depth over breadth — three well-analyzed techniques rather than a wide scan.</t>
        </is>
      </c>
      <c r="B2" s="5" t="n"/>
      <c r="C2" s="5" t="n"/>
      <c r="D2" s="5" t="n"/>
      <c r="E2" s="5" t="n"/>
      <c r="F2" s="5" t="n"/>
      <c r="G2" s="5" t="n"/>
      <c r="H2" s="6" t="n"/>
    </row>
    <row r="4" ht="22" customHeight="1">
      <c r="A4" s="8" t="inlineStr">
        <is>
          <t>SECTION A: Attack Surface Summary</t>
        </is>
      </c>
    </row>
    <row r="5" ht="235" customHeight="1">
      <c r="A5" s="26" t="inlineStr">
        <is>
          <t>Upstream (external): Hospital EHR and billing systems. These are the trust boundary we do not control. The billing system supplies insurance_type, which is weakly governed and can be stale (D2 stage 3). Any compromise or data-quality failure here enters the model as 'truth'.
C1 Data Ingestion Pipeline (HL7 FHIR R4 → Kafka). Surface: the mTLS client certificate held at each of the 7 hospital edges; Kafka topics (encryption at rest and ACLs are undocumented); full FHIR records pushed every 15 min. Threats: stolen hospital certificate used to inject records, eavesdropping on the buffer, replaying records.
C2 Preprocessing Layer. Surface: the feature-engineering code; the join with billing demographics; imputation logic. Threats: tampered preprocessing code, manipulated insurance_type/region values. Silent imputation can hide input attacks.
C3 Model Inference API (FastAPI + scikit-learn, loads a joblib pickle). Surface: accepts a raw feature vector, returns a full-precision probability, and allows 200 req/min per hospital (about 288k/day). Threats: query-based extraction, membership inference or inversion, adversarial inputs. Deserialising a pickle on load means arbitrary code execution.
C4 Clinician-Facing Dashboard. Surface: web app, clinician credentials (phishing is the leading healthcare breach vector), override capture. Threats: account takeover, malicious or systematically biased overrides that become training labels.
C5 Model Registry. Surface: every model artifact, training-data manifest and training dataset ever used, plus override feedback. It is the highest-value target. Threats: artifact substitution (supply chain), training-data poisoning, bulk exfiltration of patient training data.
C6 Logging &amp; Monitoring. Surface: 7 years of inference logs with patient IDs; cross-border US→EU telemetry (D2 stage 8). Threats: log tampering to hide an attack, exfiltration, poisoning of drift baselines so real drift does not alert.
→ Where the surface is largest: the C4→C5 feedback loop (untrusted labels flow straight into training), the C5→C3 artifact path (unsigned pickle is loaded in production), and C3 API exposure (raw vectors in, raw probabilities out). The three TTPs below are chosen from these.</t>
        </is>
      </c>
      <c r="B5" s="45" t="n"/>
      <c r="C5" s="45" t="n"/>
      <c r="D5" s="45" t="n"/>
      <c r="E5" s="45" t="n"/>
      <c r="F5" s="45" t="n"/>
      <c r="G5" s="45" t="n"/>
      <c r="H5" s="46" t="n"/>
    </row>
    <row r="7" ht="22" customHeight="1">
      <c r="A7" s="8" t="inlineStr">
        <is>
          <t>SECTION B: Threat Table — 3 TTPs</t>
        </is>
      </c>
    </row>
    <row r="8" ht="28" customHeight="1">
      <c r="A8" s="30" t="inlineStr">
        <is>
          <t>Rank</t>
        </is>
      </c>
      <c r="B8" s="30" t="inlineStr">
        <is>
          <t>ATLAS ID</t>
        </is>
      </c>
      <c r="C8" s="30" t="inlineStr">
        <is>
          <t>Technique Name</t>
        </is>
      </c>
      <c r="D8" s="30" t="inlineStr">
        <is>
          <t>Targeted Component</t>
        </is>
      </c>
      <c r="E8" s="30" t="inlineStr">
        <is>
          <t>Attack Scenario</t>
        </is>
      </c>
      <c r="F8" s="30" t="inlineStr">
        <is>
          <t>Proposed Mitigation</t>
        </is>
      </c>
      <c r="G8" s="30" t="inlineStr">
        <is>
          <t>Likelihood</t>
        </is>
      </c>
      <c r="H8" s="30" t="inlineStr">
        <is>
          <t>Impact</t>
        </is>
      </c>
    </row>
    <row r="9" ht="321" customHeight="1">
      <c r="A9" s="11" t="inlineStr">
        <is>
          <t>1</t>
        </is>
      </c>
      <c r="B9" s="26" t="inlineStr">
        <is>
          <t>AML.T0020</t>
        </is>
      </c>
      <c r="C9" s="26" t="inlineStr">
        <is>
          <t>Poison Training Data
(tactic: Resource Development; related: AML.T0018.000 Poison AI Model, AML.T0019 Publish Poisoned Datasets)</t>
        </is>
      </c>
      <c r="D9" s="26" t="inlineStr">
        <is>
          <t>C4 Clinician Dashboard → C5 Model Registry (override feedback loop). Secondary: Source 2 synthetic-data generator.</t>
        </is>
      </c>
      <c r="E9" s="26" t="inlineStr">
        <is>
          <t>ACTOR: a malicious insider, or an attacker who has phished a clinician's credentials at one of the 7 launch hospitals. The same effect also happens with no attacker at all, if clinicians systematically dismiss flags for under-served patients.
1. The attacker logs in to the C4 dashboard as a legitimate clinician.
2. Over 8-12 weeks they record 'disagree - not high-risk' overrides on true-positive patients in a narrow subgroup, e.g. Medicaid patients aged 21-35, around 5 a day so each one looks like ordinary clinical judgement.
3. Every override is written to the C5 Model Registry and becomes a training label. Nothing reviews or caps it.
4. At the next retraining (healthguard-v1.1), the model learns that this subgroup is low-risk. If the poisoned rows also seed the Source 2 generator, the synthetic data multiplies them.
5. The subgroup is small, so overall AUC moves less than 0.01 and the release passes. Subgroup FNR, already 31-49% (D4), rises further.
IMPACT: missed or late T2D diagnoses for an identifiable, already disadvantaged group. This breaches the Board's low patient-safety appetite and is a reportable serious incident (AI Act Art. 73). It is invisible to aggregate monitoring.</t>
        </is>
      </c>
      <c r="F9" s="26" t="inlineStr">
        <is>
          <t>Targets the integrity of the training pipeline (ATLAS AML.M0007 Sanitize Training Data, AML.M0025 Maintain AI Dataset Provenance, AML.M0008 Validate AI Model):
1. OVERRIDE QUARANTINE: overrides go to a separate staging table and are never used for training until a second clinician adjudicates a stratified sample. Structured reason codes are mandatory.
2. CONTRIBUTION CAPS AND ANOMALY CHECKS: cap the number of override labels any one clinician or site can contribute per release. Run per-clinician override-rate z-scores by subgroup, and screen for label errors with cleanlab (confident learning) before training.
3. SUBGROUP REGRESSION GATE in CI: score each candidate model on a frozen, clinician-adjudicated golden test set that only the release pipeline can read. Block promotion if any region, insurance or age subgroup's FNR rises by more than 2 percentage points, or breaches the D7 KRI threshold (lab/kri.py).
4. LINEAGE: version the training data in DVC or lakeFS, with the sha256 manifest signed and recorded in the registry, so a poisoned batch can be traced and rolled back.</t>
        </is>
      </c>
      <c r="G9" s="47" t="inlineStr">
        <is>
          <t>M-H</t>
        </is>
      </c>
      <c r="H9" s="47" t="inlineStr">
        <is>
          <t>H</t>
        </is>
      </c>
    </row>
    <row r="10" ht="306" customHeight="1">
      <c r="A10" s="11" t="inlineStr">
        <is>
          <t>2</t>
        </is>
      </c>
      <c r="B10" s="26" t="inlineStr">
        <is>
          <t>AML.T0010.003</t>
        </is>
      </c>
      <c r="C10" s="26" t="inlineStr">
        <is>
          <t>AI Supply Chain Compromise: Model
(related: AML.T0011.000 User Execution: Unsafe AI Artifacts; AML.T0018 Manipulate AI Model)</t>
        </is>
      </c>
      <c r="D10" s="26" t="inlineStr">
        <is>
          <t>C5 Model Registry → C3 Model Inference API (loading the joblib artifact).</t>
        </is>
      </c>
      <c r="E10" s="26" t="inlineStr">
        <is>
          <t>ACTOR: an attacker holding stolen ML-engineer or CI/CD credentials, or a compromised dependency in the training environment.
1. They build a joblib/pickle file that wraps the real healthguard GradientBoostingClassifier and adds a __reduce__ payload. Predictions still look normal.
2. They upload it to the C5 registry as healthguard-v1.0-rc8, or overwrite rc7. No signature check exists, and the brief records only a manifest hash for the data, not for the model.
3. On the next deployment, the C3 FastAPI service calls joblib.load() and the payload runs with the service's privileges inside the Frankfurt production environment.
4a. LOUD VARIANT: a reverse shell reaches the Kafka feeds and the prediction DB, which holds patient IDs and feature vectors for every scored patient. The result is a PHI exfiltration or ransomware event at a medical-device vendor.
4b. STEALTH VARIANT: the payload monkey-patches predict_proba to subtract 0.08 when region == 'Rural'. Rural FNR (already 37.8%) rises, nothing crashes, and the harm looks like 'model behaviour'.
IMPACT: a GDPR Art. 33/34 breach plus HIPAA breach notification, MDR vigilance, and the loss of conformity status for the device.</t>
        </is>
      </c>
      <c r="F10" s="26" t="inlineStr">
        <is>
          <t>Targets the integrity of the artifacts (ATLAS AML.M0014 Verify AI Artifacts, AML.M0013 Code Signing, AML.M0016 Vulnerability Scanning, AML.M0023 AI Bill of Materials, AML.M0005 Control Access to AI Models and Data at Rest):
1. SAFE SERIALISATION: replace joblib/pickle with skops.io, loading with an explicit trusted-types allow-list, or export to ONNX and serve with onnxruntime. The deployment then never runs pickle.
2. SIGN AND VERIFY: the CI pipeline signs each artifact with Sigstore cosign (keyless, OIDC identity of the CI job). Before loading, the Inference API checks the signature and that the sha256 matches the registry entry, and refuses to start otherwise.
3. SCAN: modelscan / picklescan runs as a CI gate on every artifact.
4. REGISTRY HARDENING: artifact storage is immutable (S3 Object Lock / WORM). Only the CI service identity can write; humans need MFA plus a two-person approval to promote a model.
5. ML-BOM: a CycloneDX ML-BOM for each release, pinning scikit-learn 1.7 and the numpy versions.</t>
        </is>
      </c>
      <c r="G10" s="47" t="inlineStr">
        <is>
          <t>M</t>
        </is>
      </c>
      <c r="H10" s="47" t="inlineStr">
        <is>
          <t>H</t>
        </is>
      </c>
    </row>
    <row r="11" ht="321" customHeight="1">
      <c r="A11" s="11" t="inlineStr">
        <is>
          <t>3</t>
        </is>
      </c>
      <c r="B11" s="26" t="inlineStr">
        <is>
          <t>AML.T0024</t>
        </is>
      </c>
      <c r="C11" s="26" t="inlineStr">
        <is>
          <t>Exfiltration via AI Inference API
(.000 Infer Training Data Membership; .002 Extract AI Model. Enabled by AML.T0040 AI Model Inference API Access)</t>
        </is>
      </c>
      <c r="D11" s="26" t="inlineStr">
        <is>
          <t>C3 Model Inference API (and the hospital-edge mTLS client certificates in C1/C3).</t>
        </is>
      </c>
      <c r="E11" s="26" t="inlineStr">
        <is>
          <t>ACTOR: someone with access to a hospital integration server (a contractor, or a compromised host holding the mTLS client certificate). Or a commercial party who wants a HealthGuard equivalent for INSURANCE UNDERWRITING, which is an explicitly prohibited use.
1. The attacker uses the hospital's certificate to call C3 directly. C3 accepts arbitrary feature vectors and returns a full-precision probability.
2. EXTRACTION (.002): they submit about 250k synthetic vectors spread across the 13-feature space, staying under 200 req/min (about 1 day of traffic), and train a surrogate GBM that agrees with HealthGuard more than 95% of the time. The surrogate is then used for premium pricing outside any clinician oversight. That is exactly the prohibited use, and it sits beyond Klariova's contractual controls.
3. MEMBERSHIP (.000): for a known Irish or German patient (an employee or a public figure), they query their real attributes and compare the confidence with near-neighbour perturbations. Unusually high confidence suggests the record was in Source 1 training, revealing that the person was a patient at a specific hospital and probably their diabetes outcome.
IMPACT: disclosure of special-category data (GDPR Art. 9, breach under Art. 33), loss of IP, and enabling of a prohibited use.</t>
        </is>
      </c>
      <c r="F11" s="26" t="inlineStr">
        <is>
          <t>Targets exposure of the API (ATLAS AML.M0004 Restrict Number of AI Model Queries, AML.M0002 Passive AI Output Obfuscation, AML.M0019 Control Access to AI Models and Data in Production):
1. REFERENCE-ONLY INPUT: change C3 so it accepts a patient reference plus a clinician OAuth2 token, not a raw feature vector. The server builds features from the ingested FHIR data. Attackers can no longer choose query points, which defeats both extraction and membership probing.
2. OUTPUT COARSENING: return a risk band (low / moderate / high) and the top-3 SHAP factors, not a 4-decimal probability.
3. PER-IDENTITY QUOTAS: per-clinician limits sized to clinical reality (e.g., 60 scores per hour) instead of 200 rpm per hospital. Use Upstash rate limiting keyed on clinician ID, and alert on unusual coverage of the feature space.
4. PRIVACY RELEASE GATE: run an ML Privacy Meter membership-inference audit on each release, with a maximum attack AUC of 0.55, before promotion.</t>
        </is>
      </c>
      <c r="G11" s="47" t="inlineStr">
        <is>
          <t>L-M</t>
        </is>
      </c>
      <c r="H11" s="47" t="inlineStr">
        <is>
          <t>M</t>
        </is>
      </c>
    </row>
    <row r="13" ht="22" customHeight="1">
      <c r="A13" s="8" t="inlineStr">
        <is>
          <t>SECTION C: Prioritization Rationale</t>
        </is>
      </c>
    </row>
    <row r="14" ht="205" customHeight="1">
      <c r="A14" s="26" t="inlineStr">
        <is>
          <t>I ranked the three by likelihood × patient-safety impact in THIS deployment. Each one exploits a weakness already found in D1/D2, not a generic ML threat.
1) AML.T0020 Poison Training Data is first because the attack path is built into the design. Clinician overrides go straight from C4 into the C5 registry for retraining, with no review (D1 Art. 14/15 rows; D2 stage 7 and risk C1). The precondition, a clinician login, is the most commonly compromised credential in healthcare. And the outcome needs no attacker at all: biased overrides on under-served patients cause the same harm. It also targets the system's weakest point. D4 already shows FNR of 37.8% for Rural and 37.5% for Uninsured patients, and the labels already carry historical under-diagnosis that the synthetic Source 2 copies (D2 data-quality concerns). Poisoning makes an existing fairness failure worse, invisibly to aggregate AUC, so it hits the Board's low patient-safety appetite directly.
2) AML.T0010.003 AI Supply Chain Compromise: Model is second. Its impact is the highest of the three (code execution inside the PHI environment, or stealthy per-subgroup sabotage), and the weakness is concrete: an unsigned joblib pickle loaded by C3. Likelihood is lower (M) because it needs privileged registry or CI access, not a clinician login. It is also the most clear-cut to fix: safe serialisation plus signature verification removes the whole class before launch.
3) AML.T0024 Exfiltration via Inference API is third. C3's design (raw vectors in, raw probabilities out, 200 req/min per hospital) makes it feasible, and it is the AI-specific route to the privacy and prohibited-use risks in D2 (health-data disclosure; insurance underwriting). Likelihood is L-M: the API is not internet-facing, it sits behind hospital mTLS, and membership inference against a regularised GBM on about 12k records gives only modest advantage. Impact is M rather than H because it causes privacy and IP harm, not direct clinical harm.
Considered and deprioritised: AML.T0015 Evade AI Model / AML.T0043 Craft Adversarial Data. Patients and clinicians have no plausible motive to make a preventive screening score lower, and the realistic 'adversarial input', stale insurance_type from billing, is a data-quality problem already handled under D2 stage 3 and Art. 15 robustness. Prompt-injection and LLM techniques do not apply: there is no generative component.
Carry to D5: one risk row per TTP (Security; NIST AI RMF Manage). #1 also links to the subgroup-FNR KRI in D7.</t>
        </is>
      </c>
      <c r="B14" s="45" t="n"/>
      <c r="C14" s="45" t="n"/>
      <c r="D14" s="45" t="n"/>
      <c r="E14" s="45" t="n"/>
      <c r="F14" s="45" t="n"/>
      <c r="G14" s="45" t="n"/>
      <c r="H14" s="46" t="n"/>
    </row>
  </sheetData>
  <mergeCells count="7">
    <mergeCell ref="A1:H1"/>
    <mergeCell ref="A4:H4"/>
    <mergeCell ref="A7:H7"/>
    <mergeCell ref="A2:H2"/>
    <mergeCell ref="A13:H13"/>
    <mergeCell ref="A14:H14"/>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8" customWidth="1" min="1" max="1"/>
    <col width="26" customWidth="1" min="2" max="2"/>
    <col width="16" customWidth="1" min="3" max="3"/>
    <col width="16" customWidth="1" min="4" max="4"/>
    <col width="18" customWidth="1" min="5" max="5"/>
    <col width="22" customWidth="1" min="6" max="6"/>
  </cols>
  <sheetData>
    <row r="1" ht="32" customHeight="1">
      <c r="A1" s="31" t="inlineStr">
        <is>
          <t>D4 — Technical Audit Summary</t>
        </is>
      </c>
    </row>
    <row r="2" ht="22" customHeight="1">
      <c r="A2" s="24" t="inlineStr">
        <is>
          <t>This tab is populated automatically by audit_notebook.ipynb. Run the notebook after implementing all four lab/ modules.</t>
        </is>
      </c>
      <c r="B2" s="5" t="n"/>
      <c r="C2" s="5" t="n"/>
      <c r="D2" s="5" t="n"/>
      <c r="E2" s="5" t="n"/>
      <c r="F2" s="6" t="n"/>
    </row>
    <row r="4" ht="22" customHeight="1">
      <c r="A4" s="8" t="inlineStr">
        <is>
          <t>Overall Performance</t>
        </is>
      </c>
    </row>
    <row r="5" ht="28" customHeight="1">
      <c r="A5" s="32" t="inlineStr">
        <is>
          <t>Metric</t>
        </is>
      </c>
      <c r="B5" s="32" t="inlineStr">
        <is>
          <t>Value</t>
        </is>
      </c>
      <c r="C5" s="32" t="inlineStr"/>
      <c r="D5" s="32" t="inlineStr"/>
      <c r="E5" s="32" t="inlineStr"/>
      <c r="F5" s="32" t="inlineStr"/>
    </row>
    <row r="6">
      <c r="A6" s="11" t="inlineStr">
        <is>
          <t>ROC AUC</t>
        </is>
      </c>
      <c r="B6" s="11" t="n"/>
    </row>
    <row r="7">
      <c r="A7" s="11" t="inlineStr">
        <is>
          <t>Recall (sensitivity)</t>
        </is>
      </c>
      <c r="B7" s="11" t="n"/>
    </row>
    <row r="8">
      <c r="A8" s="11" t="inlineStr">
        <is>
          <t>Precision</t>
        </is>
      </c>
      <c r="B8" s="11" t="n"/>
    </row>
    <row r="9">
      <c r="A9" s="11" t="inlineStr">
        <is>
          <t>F1</t>
        </is>
      </c>
      <c r="B9" s="11" t="n"/>
    </row>
    <row r="10">
      <c r="A10" s="11" t="inlineStr">
        <is>
          <t>Accuracy</t>
        </is>
      </c>
      <c r="B10" s="11" t="n"/>
    </row>
    <row r="11">
      <c r="A11" s="11" t="inlineStr">
        <is>
          <t>Decision threshold</t>
        </is>
      </c>
      <c r="B11" s="11" t="n"/>
    </row>
    <row r="12">
      <c r="A12" s="11" t="inlineStr">
        <is>
          <t>Test n</t>
        </is>
      </c>
      <c r="B12" s="11" t="n"/>
    </row>
    <row r="13">
      <c r="A13" s="11" t="inlineStr">
        <is>
          <t>Prevalence</t>
        </is>
      </c>
      <c r="B13" s="11" t="n"/>
    </row>
    <row r="16" ht="22" customHeight="1">
      <c r="A16" s="8" t="inlineStr">
        <is>
          <t>Region-Level FNR by Subgroup</t>
        </is>
      </c>
    </row>
    <row r="17" ht="28" customHeight="1">
      <c r="A17" s="32" t="inlineStr">
        <is>
          <t>region</t>
        </is>
      </c>
      <c r="B17" s="32" t="inlineStr">
        <is>
          <t>n_total</t>
        </is>
      </c>
      <c r="C17" s="32" t="inlineStr">
        <is>
          <t>n_positives</t>
        </is>
      </c>
      <c r="D17" s="32" t="inlineStr">
        <is>
          <t>FNR</t>
        </is>
      </c>
      <c r="E17" s="32" t="inlineStr">
        <is>
          <t>FPR</t>
        </is>
      </c>
      <c r="F17" s="32" t="inlineStr">
        <is>
          <t>selection_rate</t>
        </is>
      </c>
    </row>
    <row r="18">
      <c r="A18" s="11" t="n"/>
      <c r="B18" s="11" t="n"/>
      <c r="C18" s="11" t="n"/>
      <c r="D18" s="11" t="n"/>
      <c r="E18" s="11" t="n"/>
      <c r="F18" s="11" t="n"/>
    </row>
    <row r="19">
      <c r="A19" s="11" t="n"/>
      <c r="B19" s="11" t="n"/>
      <c r="C19" s="11" t="n"/>
      <c r="D19" s="11" t="n"/>
      <c r="E19" s="11" t="n"/>
      <c r="F19" s="11" t="n"/>
    </row>
    <row r="20">
      <c r="A20" s="11" t="n"/>
      <c r="B20" s="11" t="n"/>
      <c r="C20" s="11" t="n"/>
      <c r="D20" s="11" t="n"/>
      <c r="E20" s="11" t="n"/>
      <c r="F20" s="11" t="n"/>
    </row>
    <row r="25" ht="22" customHeight="1">
      <c r="A25" s="8" t="inlineStr">
        <is>
          <t>Intersectional FNR (Region × Insurance, n_pos ≥ 5)</t>
        </is>
      </c>
    </row>
    <row r="26" ht="28" customHeight="1">
      <c r="A26" s="32" t="inlineStr">
        <is>
          <t>region</t>
        </is>
      </c>
      <c r="B26" s="32" t="inlineStr">
        <is>
          <t>insurance_type</t>
        </is>
      </c>
      <c r="C26" s="32" t="inlineStr">
        <is>
          <t>n_total</t>
        </is>
      </c>
      <c r="D26" s="32" t="inlineStr">
        <is>
          <t>n_positives</t>
        </is>
      </c>
      <c r="E26" s="32" t="inlineStr">
        <is>
          <t>FNR</t>
        </is>
      </c>
      <c r="F26" s="32" t="inlineStr">
        <is>
          <t>selection_rate</t>
        </is>
      </c>
    </row>
    <row r="27">
      <c r="A27" s="11" t="n"/>
      <c r="B27" s="11" t="n"/>
      <c r="C27" s="11" t="n"/>
      <c r="D27" s="11" t="n"/>
      <c r="E27" s="11" t="n"/>
      <c r="F27" s="11" t="n"/>
    </row>
    <row r="28">
      <c r="A28" s="11" t="n"/>
      <c r="B28" s="11" t="n"/>
      <c r="C28" s="11" t="n"/>
      <c r="D28" s="11" t="n"/>
      <c r="E28" s="11" t="n"/>
      <c r="F28" s="11" t="n"/>
    </row>
    <row r="29">
      <c r="A29" s="11" t="n"/>
      <c r="B29" s="11" t="n"/>
      <c r="C29" s="11" t="n"/>
      <c r="D29" s="11" t="n"/>
      <c r="E29" s="11" t="n"/>
      <c r="F29" s="11" t="n"/>
    </row>
    <row r="30">
      <c r="A30" s="11" t="n"/>
      <c r="B30" s="11" t="n"/>
      <c r="C30" s="11" t="n"/>
      <c r="D30" s="11" t="n"/>
      <c r="E30" s="11" t="n"/>
      <c r="F30" s="11" t="n"/>
    </row>
    <row r="31">
      <c r="A31" s="11" t="n"/>
      <c r="B31" s="11" t="n"/>
      <c r="C31" s="11" t="n"/>
      <c r="D31" s="11" t="n"/>
      <c r="E31" s="11" t="n"/>
      <c r="F31" s="11" t="n"/>
    </row>
    <row r="32">
      <c r="A32" s="11" t="n"/>
      <c r="B32" s="11" t="n"/>
      <c r="C32" s="11" t="n"/>
      <c r="D32" s="11" t="n"/>
      <c r="E32" s="11" t="n"/>
      <c r="F32" s="11" t="n"/>
    </row>
    <row r="33">
      <c r="A33" s="11" t="n"/>
      <c r="B33" s="11" t="n"/>
      <c r="C33" s="11" t="n"/>
      <c r="D33" s="11" t="n"/>
      <c r="E33" s="11" t="n"/>
      <c r="F33" s="11" t="n"/>
    </row>
    <row r="34">
      <c r="A34" s="11" t="n"/>
      <c r="B34" s="11" t="n"/>
      <c r="C34" s="11" t="n"/>
      <c r="D34" s="11" t="n"/>
      <c r="E34" s="11" t="n"/>
      <c r="F34" s="11" t="n"/>
    </row>
    <row r="36" ht="22" customHeight="1">
      <c r="A36" s="8" t="inlineStr">
        <is>
          <t>Most-Harmed Subgroup (n_pos ≥ 20 filter)</t>
        </is>
      </c>
    </row>
    <row r="37">
      <c r="A37" s="33" t="inlineStr">
        <is>
          <t>Subgroup</t>
        </is>
      </c>
      <c r="B37" s="11" t="n"/>
    </row>
    <row r="38">
      <c r="A38" s="33" t="inlineStr">
        <is>
          <t>Most-harmed metric (FNR)</t>
        </is>
      </c>
      <c r="B38" s="11" t="n"/>
    </row>
    <row r="39">
      <c r="A39" s="33" t="inlineStr">
        <is>
          <t>n_positives</t>
        </is>
      </c>
      <c r="B39" s="11" t="n"/>
    </row>
    <row r="40">
      <c r="A40" s="33" t="inlineStr">
        <is>
          <t>Reference cell (most stable)</t>
        </is>
      </c>
      <c r="B40" s="11" t="inlineStr">
        <is>
          <t>(Notebook computes)</t>
        </is>
      </c>
    </row>
    <row r="41">
      <c r="A41" s="33" t="inlineStr">
        <is>
          <t>Region-level gap (Rural − Urban)</t>
        </is>
      </c>
      <c r="B41" s="11" t="inlineStr">
        <is>
          <t>(Notebook computes)</t>
        </is>
      </c>
    </row>
    <row r="42">
      <c r="A42" s="33" t="inlineStr">
        <is>
          <t>Within-region gap (Rural + Medicaid − Rural + Private)</t>
        </is>
      </c>
      <c r="B42" s="11" t="n"/>
    </row>
    <row r="43">
      <c r="A43" s="33" t="inlineStr">
        <is>
          <t>Verdict</t>
        </is>
      </c>
      <c r="B43" s="11" t="n"/>
    </row>
    <row r="46" ht="22" customHeight="1">
      <c r="A46" s="8" t="inlineStr">
        <is>
          <t>Top-K SHAP Features (proxy candidates from detect_proxy_features)</t>
        </is>
      </c>
    </row>
    <row r="47" ht="28" customHeight="1">
      <c r="A47" s="32" t="inlineStr">
        <is>
          <t>rank</t>
        </is>
      </c>
      <c r="B47" s="32" t="inlineStr">
        <is>
          <t>feature</t>
        </is>
      </c>
      <c r="C47" s="32" t="inlineStr">
        <is>
          <t>mean_abs_shap</t>
        </is>
      </c>
      <c r="D47" s="32" t="inlineStr">
        <is>
          <t>mean_shap</t>
        </is>
      </c>
      <c r="E47" s="32" t="inlineStr">
        <is>
          <t>signed_strength</t>
        </is>
      </c>
      <c r="F47" s="32" t="inlineStr">
        <is>
          <t>is_likely_proxy</t>
        </is>
      </c>
    </row>
    <row r="48">
      <c r="A48" s="11" t="n"/>
      <c r="B48" s="11" t="n"/>
      <c r="C48" s="11" t="n"/>
      <c r="D48" s="11" t="n"/>
      <c r="E48" s="11" t="n"/>
      <c r="F48" s="11" t="n"/>
    </row>
    <row r="49">
      <c r="A49" s="11" t="n"/>
      <c r="B49" s="11" t="n"/>
      <c r="C49" s="11" t="n"/>
      <c r="D49" s="11" t="n"/>
      <c r="E49" s="11" t="n"/>
      <c r="F49" s="11" t="n"/>
    </row>
    <row r="50">
      <c r="A50" s="11" t="n"/>
      <c r="B50" s="11" t="n"/>
      <c r="C50" s="11" t="n"/>
      <c r="D50" s="11" t="n"/>
      <c r="E50" s="11" t="n"/>
      <c r="F50" s="11" t="n"/>
    </row>
    <row r="51">
      <c r="A51" s="11" t="n"/>
      <c r="B51" s="11" t="n"/>
      <c r="C51" s="11" t="n"/>
      <c r="D51" s="11" t="n"/>
      <c r="E51" s="11" t="n"/>
      <c r="F51" s="11" t="n"/>
    </row>
    <row r="52">
      <c r="A52" s="11" t="n"/>
      <c r="B52" s="11" t="n"/>
      <c r="C52" s="11" t="n"/>
      <c r="D52" s="11" t="n"/>
      <c r="E52" s="11" t="n"/>
      <c r="F52" s="11" t="n"/>
    </row>
    <row r="53">
      <c r="A53" s="11" t="n"/>
      <c r="B53" s="11" t="n"/>
      <c r="C53" s="11" t="n"/>
      <c r="D53" s="11" t="n"/>
      <c r="E53" s="11" t="n"/>
      <c r="F53" s="11" t="n"/>
    </row>
    <row r="54">
      <c r="A54" s="11" t="n"/>
      <c r="B54" s="11" t="n"/>
      <c r="C54" s="11" t="n"/>
      <c r="D54" s="11" t="n"/>
      <c r="E54" s="11" t="n"/>
      <c r="F54" s="11" t="n"/>
    </row>
    <row r="55">
      <c r="A55" s="11" t="n"/>
      <c r="B55" s="11" t="n"/>
      <c r="C55" s="11" t="n"/>
      <c r="D55" s="11" t="n"/>
      <c r="E55" s="11" t="n"/>
      <c r="F55" s="11" t="n"/>
    </row>
    <row r="57" ht="22" customHeight="1">
      <c r="A57" s="8" t="inlineStr">
        <is>
          <t>Proxy-Bias Hypothesis</t>
        </is>
      </c>
    </row>
    <row r="58" ht="180" customHeight="1">
      <c r="A58" s="11" t="inlineStr">
        <is>
          <t>[Populated by audit_notebook.ipynb after the technical audit runs.]</t>
        </is>
      </c>
      <c r="B58" s="5" t="n"/>
      <c r="C58" s="5" t="n"/>
      <c r="D58" s="5" t="n"/>
      <c r="E58" s="5" t="n"/>
      <c r="F58" s="6" t="n"/>
    </row>
  </sheetData>
  <mergeCells count="9">
    <mergeCell ref="A2:F2"/>
    <mergeCell ref="A16:F16"/>
    <mergeCell ref="A46:F46"/>
    <mergeCell ref="A36:F36"/>
    <mergeCell ref="A1:F1"/>
    <mergeCell ref="A58:F58"/>
    <mergeCell ref="A4:F4"/>
    <mergeCell ref="A25:F25"/>
    <mergeCell ref="A57:F5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cols>
    <col width="10" customWidth="1" min="1" max="1"/>
    <col width="50" customWidth="1" min="2" max="2"/>
    <col width="14" customWidth="1" min="3" max="3"/>
    <col width="18" customWidth="1" min="4" max="4"/>
    <col width="14" customWidth="1" min="5" max="5"/>
    <col width="12" customWidth="1" min="6" max="6"/>
    <col width="10" customWidth="1" min="7" max="7"/>
    <col width="10" customWidth="1" min="8" max="8"/>
    <col width="38" customWidth="1" min="9" max="9"/>
    <col width="14" customWidth="1" min="10" max="10"/>
    <col width="12" customWidth="1" min="11" max="11"/>
    <col width="30" customWidth="1" min="12" max="12"/>
  </cols>
  <sheetData>
    <row r="1" ht="32" customHeight="1">
      <c r="A1" s="34" t="inlineStr">
        <is>
          <t>D5 — NIST AI RMF Risk Register</t>
        </is>
      </c>
    </row>
    <row r="2" ht="42" customHeight="1">
      <c r="A2" s="24" t="inlineStr">
        <is>
          <t>Synthesize all risks surfaced in D1-D4 into one register. Notebook seeds 3-4 rows from the technical audit (D4); you add the rest. Target ≥10 rows total, with risks drawn from all 4 source outputs (D1, D2, D3, D4). Mark your top 3-5 enterprise-priority risks with the Top-N flag.</t>
        </is>
      </c>
      <c r="B2" s="5" t="n"/>
      <c r="C2" s="5" t="n"/>
      <c r="D2" s="5" t="n"/>
      <c r="E2" s="5" t="n"/>
      <c r="F2" s="5" t="n"/>
      <c r="G2" s="5" t="n"/>
      <c r="H2" s="5" t="n"/>
      <c r="I2" s="5" t="n"/>
      <c r="J2" s="5" t="n"/>
      <c r="K2" s="5" t="n"/>
      <c r="L2" s="6" t="n"/>
    </row>
    <row r="4" ht="22" customHeight="1">
      <c r="A4" s="8" t="inlineStr">
        <is>
          <t>Risk Register</t>
        </is>
      </c>
    </row>
    <row r="5" ht="28" customHeight="1">
      <c r="A5" s="35" t="inlineStr">
        <is>
          <t>Risk ID</t>
        </is>
      </c>
      <c r="B5" s="35" t="inlineStr">
        <is>
          <t>Risk Description</t>
        </is>
      </c>
      <c r="C5" s="35" t="inlineStr">
        <is>
          <t>Risk Category</t>
        </is>
      </c>
      <c r="D5" s="35" t="inlineStr">
        <is>
          <t>NIST AI RMF Function</t>
        </is>
      </c>
      <c r="E5" s="35" t="inlineStr">
        <is>
          <t>Source</t>
        </is>
      </c>
      <c r="F5" s="35" t="inlineStr">
        <is>
          <t>Likelihood (1-5)</t>
        </is>
      </c>
      <c r="G5" s="35" t="inlineStr">
        <is>
          <t>Impact (1-5)</t>
        </is>
      </c>
      <c r="H5" s="35" t="inlineStr">
        <is>
          <t>Risk Score</t>
        </is>
      </c>
      <c r="I5" s="35" t="inlineStr">
        <is>
          <t>Proposed Controls</t>
        </is>
      </c>
      <c r="J5" s="35" t="inlineStr">
        <is>
          <t>Residual Risk</t>
        </is>
      </c>
      <c r="K5" s="35" t="inlineStr">
        <is>
          <t>Top-N Flag</t>
        </is>
      </c>
      <c r="L5" s="35" t="inlineStr">
        <is>
          <t>Notes</t>
        </is>
      </c>
    </row>
    <row r="6" ht="60" customHeight="1">
      <c r="A6" s="11" t="inlineStr">
        <is>
          <t>RR-EX</t>
        </is>
      </c>
      <c r="B6" s="11" t="inlineStr">
        <is>
          <t>EXAMPLE — Cross-border telemetry (US → EU) lacks Chapter V transfer mechanism (no SCCs; not in Article 30 RoPA).</t>
        </is>
      </c>
      <c r="C6" s="11" t="inlineStr">
        <is>
          <t>Privacy</t>
        </is>
      </c>
      <c r="D6" s="11" t="inlineStr">
        <is>
          <t>Govern</t>
        </is>
      </c>
      <c r="E6" s="11" t="inlineStr">
        <is>
          <t>D2</t>
        </is>
      </c>
      <c r="F6" s="11" t="n">
        <v>3</v>
      </c>
      <c r="G6" s="11" t="n">
        <v>3</v>
      </c>
      <c r="H6" s="11" t="n">
        <v>9</v>
      </c>
      <c r="I6" s="11" t="inlineStr">
        <is>
          <t>Adopt 2021 SCCs Module 4 (processor-to-controller); perform a Transfer Impact Assessment per Schrems II; update Article 30 record.</t>
        </is>
      </c>
      <c r="J6" s="11" t="inlineStr">
        <is>
          <t>Low</t>
        </is>
      </c>
      <c r="K6" s="11" t="inlineStr">
        <is>
          <t>FALSE</t>
        </is>
      </c>
      <c r="L6" s="11" t="inlineStr">
        <is>
          <t>Routine compliance work; not launch-blocking.</t>
        </is>
      </c>
    </row>
    <row r="7" ht="36" customHeight="1">
      <c r="A7" s="11" t="inlineStr">
        <is>
          <t>RR-01</t>
        </is>
      </c>
      <c r="B7" s="26" t="inlineStr">
        <is>
          <t>[Risk description — be specific]</t>
        </is>
      </c>
      <c r="C7" s="26" t="inlineStr">
        <is>
          <t>[Regulatory / Security / Fairness / Privacy / Operational]</t>
        </is>
      </c>
      <c r="D7" s="26" t="inlineStr">
        <is>
          <t>[Govern / Map / Measure / Manage]</t>
        </is>
      </c>
      <c r="E7" s="26" t="inlineStr">
        <is>
          <t>[D1 / D2 / D3 / D4]</t>
        </is>
      </c>
      <c r="F7" s="26" t="inlineStr">
        <is>
          <t>[1-5]</t>
        </is>
      </c>
      <c r="G7" s="26" t="inlineStr">
        <is>
          <t>[1-5]</t>
        </is>
      </c>
      <c r="H7" s="11">
        <f>IFERROR(F7*G7,"")</f>
        <v/>
      </c>
      <c r="I7" s="26" t="inlineStr">
        <is>
          <t>[Specific control — name a framework, library entry, or mechanism]</t>
        </is>
      </c>
      <c r="J7" s="26" t="inlineStr">
        <is>
          <t>[Low / Low-Medium / Medium / Medium-High / High]</t>
        </is>
      </c>
      <c r="K7" s="26" t="inlineStr">
        <is>
          <t>[TRUE / FALSE]</t>
        </is>
      </c>
      <c r="L7" s="26" t="inlineStr">
        <is>
          <t>[Optional notes / justification for high scores]</t>
        </is>
      </c>
    </row>
    <row r="8" ht="36" customHeight="1">
      <c r="A8" s="11" t="inlineStr">
        <is>
          <t>RR-02</t>
        </is>
      </c>
      <c r="B8" s="26" t="inlineStr">
        <is>
          <t>[Risk description — be specific]</t>
        </is>
      </c>
      <c r="C8" s="26" t="inlineStr">
        <is>
          <t>[Regulatory / Security / Fairness / Privacy / Operational]</t>
        </is>
      </c>
      <c r="D8" s="26" t="inlineStr">
        <is>
          <t>[Govern / Map / Measure / Manage]</t>
        </is>
      </c>
      <c r="E8" s="26" t="inlineStr">
        <is>
          <t>[D1 / D2 / D3 / D4]</t>
        </is>
      </c>
      <c r="F8" s="26" t="inlineStr">
        <is>
          <t>[1-5]</t>
        </is>
      </c>
      <c r="G8" s="26" t="inlineStr">
        <is>
          <t>[1-5]</t>
        </is>
      </c>
      <c r="H8" s="11">
        <f>IFERROR(F8*G8,"")</f>
        <v/>
      </c>
      <c r="I8" s="26" t="inlineStr">
        <is>
          <t>[Specific control — name a framework, library entry, or mechanism]</t>
        </is>
      </c>
      <c r="J8" s="26" t="inlineStr">
        <is>
          <t>[Low / Low-Medium / Medium / Medium-High / High]</t>
        </is>
      </c>
      <c r="K8" s="26" t="inlineStr">
        <is>
          <t>[TRUE / FALSE]</t>
        </is>
      </c>
      <c r="L8" s="26" t="inlineStr">
        <is>
          <t>[Optional notes / justification for high scores]</t>
        </is>
      </c>
    </row>
    <row r="9" ht="36" customHeight="1">
      <c r="A9" s="11" t="inlineStr">
        <is>
          <t>RR-03</t>
        </is>
      </c>
      <c r="B9" s="26" t="inlineStr">
        <is>
          <t>[Risk description — be specific]</t>
        </is>
      </c>
      <c r="C9" s="26" t="inlineStr">
        <is>
          <t>[Regulatory / Security / Fairness / Privacy / Operational]</t>
        </is>
      </c>
      <c r="D9" s="26" t="inlineStr">
        <is>
          <t>[Govern / Map / Measure / Manage]</t>
        </is>
      </c>
      <c r="E9" s="26" t="inlineStr">
        <is>
          <t>[D1 / D2 / D3 / D4]</t>
        </is>
      </c>
      <c r="F9" s="26" t="inlineStr">
        <is>
          <t>[1-5]</t>
        </is>
      </c>
      <c r="G9" s="26" t="inlineStr">
        <is>
          <t>[1-5]</t>
        </is>
      </c>
      <c r="H9" s="11">
        <f>IFERROR(F9*G9,"")</f>
        <v/>
      </c>
      <c r="I9" s="26" t="inlineStr">
        <is>
          <t>[Specific control — name a framework, library entry, or mechanism]</t>
        </is>
      </c>
      <c r="J9" s="26" t="inlineStr">
        <is>
          <t>[Low / Low-Medium / Medium / Medium-High / High]</t>
        </is>
      </c>
      <c r="K9" s="26" t="inlineStr">
        <is>
          <t>[TRUE / FALSE]</t>
        </is>
      </c>
      <c r="L9" s="26" t="inlineStr">
        <is>
          <t>[Optional notes / justification for high scores]</t>
        </is>
      </c>
    </row>
    <row r="10" ht="36" customHeight="1">
      <c r="A10" s="11" t="inlineStr">
        <is>
          <t>RR-04</t>
        </is>
      </c>
      <c r="B10" s="26" t="inlineStr">
        <is>
          <t>[Risk description — be specific]</t>
        </is>
      </c>
      <c r="C10" s="26" t="inlineStr">
        <is>
          <t>[Regulatory / Security / Fairness / Privacy / Operational]</t>
        </is>
      </c>
      <c r="D10" s="26" t="inlineStr">
        <is>
          <t>[Govern / Map / Measure / Manage]</t>
        </is>
      </c>
      <c r="E10" s="26" t="inlineStr">
        <is>
          <t>[D1 / D2 / D3 / D4]</t>
        </is>
      </c>
      <c r="F10" s="26" t="inlineStr">
        <is>
          <t>[1-5]</t>
        </is>
      </c>
      <c r="G10" s="26" t="inlineStr">
        <is>
          <t>[1-5]</t>
        </is>
      </c>
      <c r="H10" s="11">
        <f>IFERROR(F10*G10,"")</f>
        <v/>
      </c>
      <c r="I10" s="26" t="inlineStr">
        <is>
          <t>[Specific control — name a framework, library entry, or mechanism]</t>
        </is>
      </c>
      <c r="J10" s="26" t="inlineStr">
        <is>
          <t>[Low / Low-Medium / Medium / Medium-High / High]</t>
        </is>
      </c>
      <c r="K10" s="26" t="inlineStr">
        <is>
          <t>[TRUE / FALSE]</t>
        </is>
      </c>
      <c r="L10" s="26" t="inlineStr">
        <is>
          <t>[Optional notes / justification for high scores]</t>
        </is>
      </c>
    </row>
    <row r="11" ht="36" customHeight="1">
      <c r="A11" s="11" t="inlineStr">
        <is>
          <t>RR-05</t>
        </is>
      </c>
      <c r="B11" s="26" t="inlineStr">
        <is>
          <t>[Risk description — be specific]</t>
        </is>
      </c>
      <c r="C11" s="26" t="inlineStr">
        <is>
          <t>[Regulatory / Security / Fairness / Privacy / Operational]</t>
        </is>
      </c>
      <c r="D11" s="26" t="inlineStr">
        <is>
          <t>[Govern / Map / Measure / Manage]</t>
        </is>
      </c>
      <c r="E11" s="26" t="inlineStr">
        <is>
          <t>[D1 / D2 / D3 / D4]</t>
        </is>
      </c>
      <c r="F11" s="26" t="inlineStr">
        <is>
          <t>[1-5]</t>
        </is>
      </c>
      <c r="G11" s="26" t="inlineStr">
        <is>
          <t>[1-5]</t>
        </is>
      </c>
      <c r="H11" s="11">
        <f>IFERROR(F11*G11,"")</f>
        <v/>
      </c>
      <c r="I11" s="26" t="inlineStr">
        <is>
          <t>[Specific control — name a framework, library entry, or mechanism]</t>
        </is>
      </c>
      <c r="J11" s="26" t="inlineStr">
        <is>
          <t>[Low / Low-Medium / Medium / Medium-High / High]</t>
        </is>
      </c>
      <c r="K11" s="26" t="inlineStr">
        <is>
          <t>[TRUE / FALSE]</t>
        </is>
      </c>
      <c r="L11" s="26" t="inlineStr">
        <is>
          <t>[Optional notes / justification for high scores]</t>
        </is>
      </c>
    </row>
    <row r="12" ht="36" customHeight="1">
      <c r="A12" s="11" t="inlineStr">
        <is>
          <t>RR-06</t>
        </is>
      </c>
      <c r="B12" s="26" t="inlineStr">
        <is>
          <t>[Risk description — be specific]</t>
        </is>
      </c>
      <c r="C12" s="26" t="inlineStr">
        <is>
          <t>[Regulatory / Security / Fairness / Privacy / Operational]</t>
        </is>
      </c>
      <c r="D12" s="26" t="inlineStr">
        <is>
          <t>[Govern / Map / Measure / Manage]</t>
        </is>
      </c>
      <c r="E12" s="26" t="inlineStr">
        <is>
          <t>[D1 / D2 / D3 / D4]</t>
        </is>
      </c>
      <c r="F12" s="26" t="inlineStr">
        <is>
          <t>[1-5]</t>
        </is>
      </c>
      <c r="G12" s="26" t="inlineStr">
        <is>
          <t>[1-5]</t>
        </is>
      </c>
      <c r="H12" s="11">
        <f>IFERROR(F12*G12,"")</f>
        <v/>
      </c>
      <c r="I12" s="26" t="inlineStr">
        <is>
          <t>[Specific control — name a framework, library entry, or mechanism]</t>
        </is>
      </c>
      <c r="J12" s="26" t="inlineStr">
        <is>
          <t>[Low / Low-Medium / Medium / Medium-High / High]</t>
        </is>
      </c>
      <c r="K12" s="26" t="inlineStr">
        <is>
          <t>[TRUE / FALSE]</t>
        </is>
      </c>
      <c r="L12" s="26" t="inlineStr">
        <is>
          <t>[Optional notes / justification for high scores]</t>
        </is>
      </c>
    </row>
    <row r="13" ht="36" customHeight="1">
      <c r="A13" s="11" t="inlineStr">
        <is>
          <t>RR-07</t>
        </is>
      </c>
      <c r="B13" s="26" t="inlineStr">
        <is>
          <t>[Risk description — be specific]</t>
        </is>
      </c>
      <c r="C13" s="26" t="inlineStr">
        <is>
          <t>[Regulatory / Security / Fairness / Privacy / Operational]</t>
        </is>
      </c>
      <c r="D13" s="26" t="inlineStr">
        <is>
          <t>[Govern / Map / Measure / Manage]</t>
        </is>
      </c>
      <c r="E13" s="26" t="inlineStr">
        <is>
          <t>[D1 / D2 / D3 / D4]</t>
        </is>
      </c>
      <c r="F13" s="26" t="inlineStr">
        <is>
          <t>[1-5]</t>
        </is>
      </c>
      <c r="G13" s="26" t="inlineStr">
        <is>
          <t>[1-5]</t>
        </is>
      </c>
      <c r="H13" s="11">
        <f>IFERROR(F13*G13,"")</f>
        <v/>
      </c>
      <c r="I13" s="26" t="inlineStr">
        <is>
          <t>[Specific control — name a framework, library entry, or mechanism]</t>
        </is>
      </c>
      <c r="J13" s="26" t="inlineStr">
        <is>
          <t>[Low / Low-Medium / Medium / Medium-High / High]</t>
        </is>
      </c>
      <c r="K13" s="26" t="inlineStr">
        <is>
          <t>[TRUE / FALSE]</t>
        </is>
      </c>
      <c r="L13" s="26" t="inlineStr">
        <is>
          <t>[Optional notes / justification for high scores]</t>
        </is>
      </c>
    </row>
    <row r="14" ht="36" customHeight="1">
      <c r="A14" s="11" t="inlineStr">
        <is>
          <t>RR-08</t>
        </is>
      </c>
      <c r="B14" s="26" t="inlineStr">
        <is>
          <t>[Risk description — be specific]</t>
        </is>
      </c>
      <c r="C14" s="26" t="inlineStr">
        <is>
          <t>[Regulatory / Security / Fairness / Privacy / Operational]</t>
        </is>
      </c>
      <c r="D14" s="26" t="inlineStr">
        <is>
          <t>[Govern / Map / Measure / Manage]</t>
        </is>
      </c>
      <c r="E14" s="26" t="inlineStr">
        <is>
          <t>[D1 / D2 / D3 / D4]</t>
        </is>
      </c>
      <c r="F14" s="26" t="inlineStr">
        <is>
          <t>[1-5]</t>
        </is>
      </c>
      <c r="G14" s="26" t="inlineStr">
        <is>
          <t>[1-5]</t>
        </is>
      </c>
      <c r="H14" s="11">
        <f>IFERROR(F14*G14,"")</f>
        <v/>
      </c>
      <c r="I14" s="26" t="inlineStr">
        <is>
          <t>[Specific control — name a framework, library entry, or mechanism]</t>
        </is>
      </c>
      <c r="J14" s="26" t="inlineStr">
        <is>
          <t>[Low / Low-Medium / Medium / Medium-High / High]</t>
        </is>
      </c>
      <c r="K14" s="26" t="inlineStr">
        <is>
          <t>[TRUE / FALSE]</t>
        </is>
      </c>
      <c r="L14" s="26" t="inlineStr">
        <is>
          <t>[Optional notes / justification for high scores]</t>
        </is>
      </c>
    </row>
    <row r="15" ht="36" customHeight="1">
      <c r="A15" s="11" t="inlineStr">
        <is>
          <t>RR-09</t>
        </is>
      </c>
      <c r="B15" s="26" t="inlineStr">
        <is>
          <t>[Risk description — be specific]</t>
        </is>
      </c>
      <c r="C15" s="26" t="inlineStr">
        <is>
          <t>[Regulatory / Security / Fairness / Privacy / Operational]</t>
        </is>
      </c>
      <c r="D15" s="26" t="inlineStr">
        <is>
          <t>[Govern / Map / Measure / Manage]</t>
        </is>
      </c>
      <c r="E15" s="26" t="inlineStr">
        <is>
          <t>[D1 / D2 / D3 / D4]</t>
        </is>
      </c>
      <c r="F15" s="26" t="inlineStr">
        <is>
          <t>[1-5]</t>
        </is>
      </c>
      <c r="G15" s="26" t="inlineStr">
        <is>
          <t>[1-5]</t>
        </is>
      </c>
      <c r="H15" s="11">
        <f>IFERROR(F15*G15,"")</f>
        <v/>
      </c>
      <c r="I15" s="26" t="inlineStr">
        <is>
          <t>[Specific control — name a framework, library entry, or mechanism]</t>
        </is>
      </c>
      <c r="J15" s="26" t="inlineStr">
        <is>
          <t>[Low / Low-Medium / Medium / Medium-High / High]</t>
        </is>
      </c>
      <c r="K15" s="26" t="inlineStr">
        <is>
          <t>[TRUE / FALSE]</t>
        </is>
      </c>
      <c r="L15" s="26" t="inlineStr">
        <is>
          <t>[Optional notes / justification for high scores]</t>
        </is>
      </c>
    </row>
    <row r="16" ht="36" customHeight="1">
      <c r="A16" s="11" t="inlineStr">
        <is>
          <t>RR-10</t>
        </is>
      </c>
      <c r="B16" s="26" t="inlineStr">
        <is>
          <t>[Risk description — be specific]</t>
        </is>
      </c>
      <c r="C16" s="26" t="inlineStr">
        <is>
          <t>[Regulatory / Security / Fairness / Privacy / Operational]</t>
        </is>
      </c>
      <c r="D16" s="26" t="inlineStr">
        <is>
          <t>[Govern / Map / Measure / Manage]</t>
        </is>
      </c>
      <c r="E16" s="26" t="inlineStr">
        <is>
          <t>[D1 / D2 / D3 / D4]</t>
        </is>
      </c>
      <c r="F16" s="26" t="inlineStr">
        <is>
          <t>[1-5]</t>
        </is>
      </c>
      <c r="G16" s="26" t="inlineStr">
        <is>
          <t>[1-5]</t>
        </is>
      </c>
      <c r="H16" s="11">
        <f>IFERROR(F16*G16,"")</f>
        <v/>
      </c>
      <c r="I16" s="26" t="inlineStr">
        <is>
          <t>[Specific control — name a framework, library entry, or mechanism]</t>
        </is>
      </c>
      <c r="J16" s="26" t="inlineStr">
        <is>
          <t>[Low / Low-Medium / Medium / Medium-High / High]</t>
        </is>
      </c>
      <c r="K16" s="26" t="inlineStr">
        <is>
          <t>[TRUE / FALSE]</t>
        </is>
      </c>
      <c r="L16" s="26" t="inlineStr">
        <is>
          <t>[Optional notes / justification for high scores]</t>
        </is>
      </c>
    </row>
    <row r="17" ht="36" customHeight="1">
      <c r="A17" s="11" t="inlineStr">
        <is>
          <t>RR-11</t>
        </is>
      </c>
      <c r="B17" s="26" t="inlineStr">
        <is>
          <t>[Risk description — be specific]</t>
        </is>
      </c>
      <c r="C17" s="26" t="inlineStr">
        <is>
          <t>[Regulatory / Security / Fairness / Privacy / Operational]</t>
        </is>
      </c>
      <c r="D17" s="26" t="inlineStr">
        <is>
          <t>[Govern / Map / Measure / Manage]</t>
        </is>
      </c>
      <c r="E17" s="26" t="inlineStr">
        <is>
          <t>[D1 / D2 / D3 / D4]</t>
        </is>
      </c>
      <c r="F17" s="26" t="inlineStr">
        <is>
          <t>[1-5]</t>
        </is>
      </c>
      <c r="G17" s="26" t="inlineStr">
        <is>
          <t>[1-5]</t>
        </is>
      </c>
      <c r="H17" s="11">
        <f>IFERROR(F17*G17,"")</f>
        <v/>
      </c>
      <c r="I17" s="26" t="inlineStr">
        <is>
          <t>[Specific control — name a framework, library entry, or mechanism]</t>
        </is>
      </c>
      <c r="J17" s="26" t="inlineStr">
        <is>
          <t>[Low / Low-Medium / Medium / Medium-High / High]</t>
        </is>
      </c>
      <c r="K17" s="26" t="inlineStr">
        <is>
          <t>[TRUE / FALSE]</t>
        </is>
      </c>
      <c r="L17" s="26" t="inlineStr">
        <is>
          <t>[Optional notes / justification for high scores]</t>
        </is>
      </c>
    </row>
    <row r="18" ht="36" customHeight="1">
      <c r="A18" s="11" t="inlineStr">
        <is>
          <t>RR-12</t>
        </is>
      </c>
      <c r="B18" s="26" t="inlineStr">
        <is>
          <t>[Risk description — be specific]</t>
        </is>
      </c>
      <c r="C18" s="26" t="inlineStr">
        <is>
          <t>[Regulatory / Security / Fairness / Privacy / Operational]</t>
        </is>
      </c>
      <c r="D18" s="26" t="inlineStr">
        <is>
          <t>[Govern / Map / Measure / Manage]</t>
        </is>
      </c>
      <c r="E18" s="26" t="inlineStr">
        <is>
          <t>[D1 / D2 / D3 / D4]</t>
        </is>
      </c>
      <c r="F18" s="26" t="inlineStr">
        <is>
          <t>[1-5]</t>
        </is>
      </c>
      <c r="G18" s="26" t="inlineStr">
        <is>
          <t>[1-5]</t>
        </is>
      </c>
      <c r="H18" s="11">
        <f>IFERROR(F18*G18,"")</f>
        <v/>
      </c>
      <c r="I18" s="26" t="inlineStr">
        <is>
          <t>[Specific control — name a framework, library entry, or mechanism]</t>
        </is>
      </c>
      <c r="J18" s="26" t="inlineStr">
        <is>
          <t>[Low / Low-Medium / Medium / Medium-High / High]</t>
        </is>
      </c>
      <c r="K18" s="26" t="inlineStr">
        <is>
          <t>[TRUE / FALSE]</t>
        </is>
      </c>
      <c r="L18" s="26" t="inlineStr">
        <is>
          <t>[Optional notes / justification for high scores]</t>
        </is>
      </c>
    </row>
    <row r="19" ht="22" customHeight="1">
      <c r="A19" s="8" t="inlineStr">
        <is>
          <t>SCORING GUIDE</t>
        </is>
      </c>
    </row>
    <row r="20">
      <c r="A20" s="36" t="inlineStr">
        <is>
          <t>Likelihood</t>
        </is>
      </c>
      <c r="B20" s="37" t="inlineStr">
        <is>
          <t>1 = Rare</t>
        </is>
      </c>
      <c r="C20" s="37" t="inlineStr">
        <is>
          <t>2 = Unlikely</t>
        </is>
      </c>
      <c r="D20" s="37" t="inlineStr">
        <is>
          <t>3 = Possible</t>
        </is>
      </c>
      <c r="E20" s="37" t="inlineStr">
        <is>
          <t>4 = Likely</t>
        </is>
      </c>
      <c r="F20" s="37" t="inlineStr">
        <is>
          <t>5 = Almost certain</t>
        </is>
      </c>
    </row>
    <row r="21">
      <c r="A21" s="36" t="inlineStr">
        <is>
          <t>Impact</t>
        </is>
      </c>
      <c r="B21" s="37" t="inlineStr">
        <is>
          <t>1 = Negligible</t>
        </is>
      </c>
      <c r="C21" s="37" t="inlineStr">
        <is>
          <t>2 = Minor</t>
        </is>
      </c>
      <c r="D21" s="37" t="inlineStr">
        <is>
          <t>3 = Moderate</t>
        </is>
      </c>
      <c r="E21" s="37" t="inlineStr">
        <is>
          <t>4 = Major</t>
        </is>
      </c>
      <c r="F21" s="37" t="inlineStr">
        <is>
          <t>5 = Catastrophic</t>
        </is>
      </c>
    </row>
    <row r="22">
      <c r="A22" s="36" t="inlineStr">
        <is>
          <t>Top-N flag</t>
        </is>
      </c>
      <c r="B22" s="37" t="inlineStr">
        <is>
          <t>TRUE = enterprise-priority risk for executive escalation</t>
        </is>
      </c>
      <c r="C22" s="37" t="inlineStr"/>
      <c r="D22" s="37" t="inlineStr"/>
      <c r="E22" s="37" t="inlineStr"/>
      <c r="F22" s="37" t="inlineStr"/>
    </row>
    <row r="23">
      <c r="A23" s="36" t="inlineStr">
        <is>
          <t>Risk Score</t>
        </is>
      </c>
      <c r="B23" s="37" t="inlineStr">
        <is>
          <t>Likelihood × Impact (1-25)</t>
        </is>
      </c>
      <c r="C23" s="37" t="inlineStr"/>
      <c r="D23" s="37" t="inlineStr"/>
      <c r="E23" s="37" t="inlineStr"/>
      <c r="F23" s="37" t="inlineStr"/>
    </row>
  </sheetData>
  <mergeCells count="4">
    <mergeCell ref="A19:L19"/>
    <mergeCell ref="A2:L2"/>
    <mergeCell ref="A1:L1"/>
    <mergeCell ref="A4:L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70" customWidth="1" min="1" max="1"/>
    <col width="70" customWidth="1" min="2" max="2"/>
  </cols>
  <sheetData>
    <row r="1" ht="32" customHeight="1">
      <c r="A1" s="38" t="inlineStr">
        <is>
          <t>D6 — Model Card (7 sections)</t>
        </is>
      </c>
    </row>
    <row r="2" ht="22" customHeight="1">
      <c r="A2" s="24" t="inlineStr">
        <is>
          <t>Populate every section with substantive content drawn from your prior tasks. Sections marked [CODE] are filled by audit_notebook.ipynb; the rest you write by hand.</t>
        </is>
      </c>
      <c r="B2" s="6" t="n"/>
    </row>
    <row r="4" ht="22" customHeight="1">
      <c r="A4" s="8" t="inlineStr">
        <is>
          <t>1. Model Details [HAND]</t>
        </is>
      </c>
    </row>
    <row r="5" ht="22" customHeight="1">
      <c r="A5" s="39" t="inlineStr">
        <is>
          <t>Name, version, framework, training date, owner, decision threshold.</t>
        </is>
      </c>
    </row>
    <row r="6" ht="140" customHeight="1">
      <c r="A6" s="26" t="inlineStr">
        <is>
          <t>[Model: HealthGuard. Version: v1.0-rc7. Framework: scikit-learn 1.7 (gradient-boosted tree classifier). Decision threshold: 0.26. Owner: Office of the Chief AI Risk Officer at Klariova Health.]</t>
        </is>
      </c>
      <c r="B6" s="6" t="n"/>
    </row>
    <row r="8" ht="22" customHeight="1">
      <c r="A8" s="8" t="inlineStr">
        <is>
          <t>2. Intended &amp; Non-Intended Use [HAND]</t>
        </is>
      </c>
    </row>
    <row r="9" ht="22" customHeight="1">
      <c r="A9" s="39" t="inlineStr">
        <is>
          <t>From A1 §2 and §3. Be specific about prohibited uses.</t>
        </is>
      </c>
    </row>
    <row r="10" ht="140" customHeight="1">
      <c r="A10" s="26" t="inlineStr">
        <is>
          <t>[Intended use: clinician decision-support during routine primary-care visits — prioritize HbA1c testing, trigger referrals to diabetes-prevention program. Decision-support only; clinician HITL on every prediction. Non-intended: insurance underwriting; automated denial of care; direct patient-facing communication; employment screening; use outside primary-care; any use that would constitute a regulated medical-device decision under MDR 2017/745.]</t>
        </is>
      </c>
      <c r="B10" s="6" t="n"/>
    </row>
    <row r="12" ht="22" customHeight="1">
      <c r="A12" s="8" t="inlineStr">
        <is>
          <t>3. Training Data [HAND]</t>
        </is>
      </c>
    </row>
    <row r="13" ht="22" customHeight="1">
      <c r="A13" s="39" t="inlineStr">
        <is>
          <t>Sources, provenance, known limitations. Reference A1 §8.</t>
        </is>
      </c>
    </row>
    <row r="14" ht="140" customHeight="1">
      <c r="A14" s="26" t="inlineStr">
        <is>
          <t>[Two sources: (Source 1) anonymized EHR extracts from Ireland and Germany customer hospitals under DPA opt-in. (Source 2) synthetic data generated to balance demographic representation. Total ~12,000 records. Known limitations: synthetic generator inherited care-access disparity from Source 1; insurance_type sourced from billing systems; geographic distribution not representative of US deployment population; no independent validation.]</t>
        </is>
      </c>
      <c r="B14" s="6" t="n"/>
    </row>
    <row r="16" ht="22" customHeight="1">
      <c r="A16" s="8" t="inlineStr">
        <is>
          <t>4. Performance — Overall and by Subgroup [CODE]</t>
        </is>
      </c>
    </row>
    <row r="17" ht="22" customHeight="1">
      <c r="A17" s="39" t="inlineStr">
        <is>
          <t>Notebook fills this section from D4.</t>
        </is>
      </c>
    </row>
    <row r="18" ht="140" customHeight="1">
      <c r="A18" s="11" t="inlineStr">
        <is>
          <t>[Populated by audit_notebook.ipynb after the technical audit runs.]</t>
        </is>
      </c>
      <c r="B18" s="6" t="n"/>
    </row>
    <row r="20" ht="22" customHeight="1">
      <c r="A20" s="8" t="inlineStr">
        <is>
          <t>5. Explainability Summary &amp; Limitations [CODE + HAND]</t>
        </is>
      </c>
    </row>
    <row r="21" ht="22" customHeight="1">
      <c r="A21" s="39" t="inlineStr">
        <is>
          <t>Notebook fills the SHAP findings; you write the limitations narrative.</t>
        </is>
      </c>
    </row>
    <row r="22" ht="140" customHeight="1">
      <c r="A22" s="26" t="inlineStr">
        <is>
          <t>[Top SHAP features dominated by clinical signals (glucose, bmi, age). insurance_type categories rank in top 8 with negative effect direction — proxy fingerprint. Limitations: SHAP is correlational not causal; small-n cell findings (e.g., Rural+Uninsured) are not statistically robust; metrics computed at threshold 0.26 only; current Clinician Dashboard does not expose instance-level SHAP — likely insufficient under EU AI Act Article 13 transparency.]</t>
        </is>
      </c>
      <c r="B22" s="6" t="n"/>
    </row>
    <row r="24" ht="22" customHeight="1">
      <c r="A24" s="8" t="inlineStr">
        <is>
          <t>6. Security Considerations &amp; Threats [HAND]</t>
        </is>
      </c>
    </row>
    <row r="25" ht="22" customHeight="1">
      <c r="A25" s="39" t="inlineStr">
        <is>
          <t>Cite specific ATLAS IDs from D3.</t>
        </is>
      </c>
    </row>
    <row r="26" ht="140" customHeight="1">
      <c r="A26" s="26" t="inlineStr">
        <is>
          <t>[3 ATLAS TTPs from D3: AML.T0020 Poison Training Data (Component 5), AML.T0043 Craft Adversarial Data (Component 3), AML.T0048 Erode ML Model Integrity (Components 4→6 override loop). For each: specific component, attack scenario, proposed mitigation. Note: T0020 risk is elevated by existing organic data-quality issues which would mask malicious activity.]</t>
        </is>
      </c>
      <c r="B26" s="6" t="n"/>
    </row>
    <row r="28" ht="22" customHeight="1">
      <c r="A28" s="8" t="inlineStr">
        <is>
          <t>7. Regulatory Context &amp; Monitoring [HAND]</t>
        </is>
      </c>
    </row>
    <row r="29" ht="22" customHeight="1">
      <c r="A29" s="39" t="inlineStr">
        <is>
          <t>Reference D1 (EU AI Act), D2 (GDPR/CPRA), and the KRIs from D7.</t>
        </is>
      </c>
    </row>
    <row r="30" ht="140" customHeight="1">
      <c r="A30" s="26" t="inlineStr">
        <is>
          <t>[EU AI Act high-risk classification under Art. 6 + Annex III, point 5(a). Key compliance status: Art. 10 Not Met, Art. 13 Not Met, Art. 15 Partially Met. GDPR/CPRA: 5 gaps identified. Post-deployment monitoring via the 3 KRIs in D7 (subgroup FNR drift, override channel health, inference anomaly rate).]</t>
        </is>
      </c>
      <c r="B30" s="6" t="n"/>
    </row>
  </sheetData>
  <mergeCells count="23">
    <mergeCell ref="A24:B24"/>
    <mergeCell ref="A30:B30"/>
    <mergeCell ref="A1:B1"/>
    <mergeCell ref="A6:B6"/>
    <mergeCell ref="A16:B16"/>
    <mergeCell ref="A25:B25"/>
    <mergeCell ref="A18:B18"/>
    <mergeCell ref="A12:B12"/>
    <mergeCell ref="A26:B26"/>
    <mergeCell ref="A21:B21"/>
    <mergeCell ref="A2:B2"/>
    <mergeCell ref="A5:B5"/>
    <mergeCell ref="A14:B14"/>
    <mergeCell ref="A17:B17"/>
    <mergeCell ref="A8:B8"/>
    <mergeCell ref="A22:B22"/>
    <mergeCell ref="A4:B4"/>
    <mergeCell ref="A20:B20"/>
    <mergeCell ref="A29:B29"/>
    <mergeCell ref="A10:B10"/>
    <mergeCell ref="A28:B28"/>
    <mergeCell ref="A13:B13"/>
    <mergeCell ref="A9:B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 customWidth="1" min="1" max="1"/>
    <col width="22" customWidth="1" min="2" max="2"/>
    <col width="28" customWidth="1" min="3" max="3"/>
    <col width="36" customWidth="1" min="4" max="4"/>
    <col width="18" customWidth="1" min="5" max="5"/>
    <col width="18" customWidth="1" min="6" max="6"/>
    <col width="18" customWidth="1" min="7" max="7"/>
    <col width="22" customWidth="1" min="8" max="8"/>
    <col width="18" customWidth="1" min="9" max="9"/>
  </cols>
  <sheetData>
    <row r="1" ht="32" customHeight="1">
      <c r="A1" s="40" t="inlineStr">
        <is>
          <t>D7 — KRI Dashboard</t>
        </is>
      </c>
    </row>
    <row r="2" ht="42" customHeight="1">
      <c r="A2" s="24" t="inlineStr">
        <is>
          <t>Define 3 KRIs that monitor the highest-priority risks from D5. Define metric, thresholds (Green/Amber/Red), escalation, owner, and connected Risk ID. Status column is populated by lab/kri.py via the audit notebook.</t>
        </is>
      </c>
      <c r="B2" s="5" t="n"/>
      <c r="C2" s="5" t="n"/>
      <c r="D2" s="5" t="n"/>
      <c r="E2" s="5" t="n"/>
      <c r="F2" s="5" t="n"/>
      <c r="G2" s="5" t="n"/>
      <c r="H2" s="5" t="n"/>
      <c r="I2" s="6" t="n"/>
    </row>
    <row r="4" ht="22" customHeight="1">
      <c r="A4" s="8" t="inlineStr">
        <is>
          <t>SECTION A: KRI Definition</t>
        </is>
      </c>
    </row>
    <row r="5" ht="28" customHeight="1">
      <c r="A5" s="41" t="inlineStr">
        <is>
          <t>#</t>
        </is>
      </c>
      <c r="B5" s="41" t="inlineStr">
        <is>
          <t>KRI Name</t>
        </is>
      </c>
      <c r="C5" s="41" t="inlineStr">
        <is>
          <t>Metric Definition</t>
        </is>
      </c>
      <c r="D5" s="41" t="inlineStr">
        <is>
          <t>Calculation Method</t>
        </is>
      </c>
      <c r="E5" s="41" t="inlineStr">
        <is>
          <t>Green</t>
        </is>
      </c>
      <c r="F5" s="41" t="inlineStr">
        <is>
          <t>Amber</t>
        </is>
      </c>
      <c r="G5" s="41" t="inlineStr">
        <is>
          <t>Red</t>
        </is>
      </c>
      <c r="H5" s="41" t="inlineStr">
        <is>
          <t>Owner Role</t>
        </is>
      </c>
      <c r="I5" s="41" t="inlineStr">
        <is>
          <t>Connected Risk ID</t>
        </is>
      </c>
    </row>
    <row r="6" ht="80" customHeight="1">
      <c r="A6" s="11" t="inlineStr">
        <is>
          <t>1</t>
        </is>
      </c>
      <c r="B6" s="26" t="inlineStr">
        <is>
          <t>[KRI name]</t>
        </is>
      </c>
      <c r="C6" s="26" t="inlineStr">
        <is>
          <t>[What is being measured]</t>
        </is>
      </c>
      <c r="D6" s="26" t="inlineStr">
        <is>
          <t>[Data source + formula + measurement frequency]</t>
        </is>
      </c>
      <c r="E6" s="26" t="inlineStr">
        <is>
          <t>[Green threshold — numeric]</t>
        </is>
      </c>
      <c r="F6" s="26" t="inlineStr">
        <is>
          <t>[Amber threshold — numeric range]</t>
        </is>
      </c>
      <c r="G6" s="26" t="inlineStr">
        <is>
          <t>[Red threshold — numeric]</t>
        </is>
      </c>
      <c r="H6" s="26" t="inlineStr">
        <is>
          <t>[Specific organizational role]</t>
        </is>
      </c>
      <c r="I6" s="26" t="inlineStr">
        <is>
          <t>[RR-## from your D5 register]</t>
        </is>
      </c>
    </row>
    <row r="7" ht="80" customHeight="1">
      <c r="A7" s="11" t="inlineStr">
        <is>
          <t>2</t>
        </is>
      </c>
      <c r="B7" s="26" t="inlineStr">
        <is>
          <t>[KRI name]</t>
        </is>
      </c>
      <c r="C7" s="26" t="inlineStr">
        <is>
          <t>[What is being measured]</t>
        </is>
      </c>
      <c r="D7" s="26" t="inlineStr">
        <is>
          <t>[Data source + formula + measurement frequency]</t>
        </is>
      </c>
      <c r="E7" s="26" t="inlineStr">
        <is>
          <t>[Green threshold — numeric]</t>
        </is>
      </c>
      <c r="F7" s="26" t="inlineStr">
        <is>
          <t>[Amber threshold — numeric range]</t>
        </is>
      </c>
      <c r="G7" s="26" t="inlineStr">
        <is>
          <t>[Red threshold — numeric]</t>
        </is>
      </c>
      <c r="H7" s="26" t="inlineStr">
        <is>
          <t>[Specific organizational role]</t>
        </is>
      </c>
      <c r="I7" s="26" t="inlineStr">
        <is>
          <t>[RR-## from your D5 register]</t>
        </is>
      </c>
    </row>
    <row r="8" ht="80" customHeight="1">
      <c r="A8" s="11" t="inlineStr">
        <is>
          <t>3</t>
        </is>
      </c>
      <c r="B8" s="26" t="inlineStr">
        <is>
          <t>[KRI name]</t>
        </is>
      </c>
      <c r="C8" s="26" t="inlineStr">
        <is>
          <t>[What is being measured]</t>
        </is>
      </c>
      <c r="D8" s="26" t="inlineStr">
        <is>
          <t>[Data source + formula + measurement frequency]</t>
        </is>
      </c>
      <c r="E8" s="26" t="inlineStr">
        <is>
          <t>[Green threshold — numeric]</t>
        </is>
      </c>
      <c r="F8" s="26" t="inlineStr">
        <is>
          <t>[Amber threshold — numeric range]</t>
        </is>
      </c>
      <c r="G8" s="26" t="inlineStr">
        <is>
          <t>[Red threshold — numeric]</t>
        </is>
      </c>
      <c r="H8" s="26" t="inlineStr">
        <is>
          <t>[Specific organizational role]</t>
        </is>
      </c>
      <c r="I8" s="26" t="inlineStr">
        <is>
          <t>[RR-## from your D5 register]</t>
        </is>
      </c>
    </row>
    <row r="9" ht="22" customHeight="1">
      <c r="A9" s="8" t="inlineStr">
        <is>
          <t>SECTION B: Status (populated by audit_notebook.ipynb)</t>
        </is>
      </c>
    </row>
    <row r="10" ht="28" customHeight="1">
      <c r="A10" s="41" t="inlineStr">
        <is>
          <t>#</t>
        </is>
      </c>
      <c r="B10" s="41" t="inlineStr">
        <is>
          <t>KRI ID</t>
        </is>
      </c>
      <c r="C10" s="41" t="inlineStr">
        <is>
          <t>Status</t>
        </is>
      </c>
      <c r="D10" s="41" t="inlineStr">
        <is>
          <t>Current value</t>
        </is>
      </c>
      <c r="E10" s="41" t="inlineStr">
        <is>
          <t>Note</t>
        </is>
      </c>
      <c r="F10" s="41" t="inlineStr"/>
      <c r="G10" s="41" t="inlineStr"/>
      <c r="H10" s="41" t="inlineStr"/>
      <c r="I10" s="41" t="inlineStr"/>
    </row>
    <row r="11">
      <c r="A11" s="11" t="n"/>
      <c r="B11" s="11" t="n"/>
      <c r="C11" s="11" t="n"/>
      <c r="D11" s="11" t="n"/>
      <c r="E11" s="11" t="n"/>
    </row>
    <row r="12">
      <c r="A12" s="11" t="n"/>
      <c r="B12" s="11" t="n"/>
      <c r="C12" s="11" t="n"/>
      <c r="D12" s="11" t="n"/>
      <c r="E12" s="11" t="n"/>
    </row>
    <row r="13">
      <c r="A13" s="11" t="n"/>
      <c r="B13" s="11" t="n"/>
      <c r="C13" s="11" t="n"/>
      <c r="D13" s="11" t="n"/>
      <c r="E13" s="11" t="n"/>
    </row>
    <row r="15" ht="22" customHeight="1">
      <c r="A15" s="8" t="inlineStr">
        <is>
          <t>SECTION C: Per-KRI Rationale [HAND]</t>
        </is>
      </c>
    </row>
    <row r="16" ht="110" customHeight="1">
      <c r="A16" s="26" t="inlineStr">
        <is>
          <t>[For each KRI, write one paragraph: why this metric, what it would detect, how it ties to the Risk Register. The escalation actions and Green/Amber/Red thresholds should be defensible to a board reviewer.]</t>
        </is>
      </c>
      <c r="B16" s="5" t="n"/>
      <c r="C16" s="5" t="n"/>
      <c r="D16" s="5" t="n"/>
      <c r="E16" s="5" t="n"/>
      <c r="F16" s="5" t="n"/>
      <c r="G16" s="5" t="n"/>
      <c r="H16" s="5" t="n"/>
      <c r="I16" s="6" t="n"/>
    </row>
  </sheetData>
  <mergeCells count="6">
    <mergeCell ref="A15:I15"/>
    <mergeCell ref="A2:I2"/>
    <mergeCell ref="A1:I1"/>
    <mergeCell ref="A9:I9"/>
    <mergeCell ref="A4:I4"/>
    <mergeCell ref="A16:I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8" customWidth="1" min="1" max="1"/>
    <col width="90" customWidth="1" min="2" max="2"/>
  </cols>
  <sheetData>
    <row r="1" ht="32" customHeight="1">
      <c r="A1" s="42" t="inlineStr">
        <is>
          <t>D8 — Launch Decision &amp; Executive Brief</t>
        </is>
      </c>
    </row>
    <row r="2" ht="22" customHeight="1">
      <c r="A2" s="24" t="inlineStr">
        <is>
          <t>Single document, three sections. Section A must read stand-alone for a non-technical CEO or Board reader.</t>
        </is>
      </c>
      <c r="B2" s="6" t="n"/>
    </row>
    <row r="4" ht="22" customHeight="1">
      <c r="A4" s="8" t="inlineStr">
        <is>
          <t>Decision header</t>
        </is>
      </c>
    </row>
    <row r="5">
      <c r="A5" s="33" t="inlineStr">
        <is>
          <t>Recommendation</t>
        </is>
      </c>
      <c r="B5" s="26" t="inlineStr">
        <is>
          <t>[Go / Conditional Go / No Go]</t>
        </is>
      </c>
    </row>
    <row r="6">
      <c r="A6" s="33" t="inlineStr">
        <is>
          <t>Decision authority</t>
        </is>
      </c>
      <c r="B6" s="11" t="inlineStr">
        <is>
          <t>Chief AI Risk Officer</t>
        </is>
      </c>
    </row>
    <row r="7">
      <c r="A7" s="33" t="inlineStr">
        <is>
          <t>Date</t>
        </is>
      </c>
      <c r="B7" s="26" t="inlineStr">
        <is>
          <t>[Project date]</t>
        </is>
      </c>
    </row>
    <row r="9" ht="22" customHeight="1">
      <c r="A9" s="8" t="inlineStr">
        <is>
          <t>SECTION A: Executive Brief (1 page max, plain language)</t>
        </is>
      </c>
    </row>
    <row r="10" ht="380" customHeight="1">
      <c r="A10" s="26" t="inlineStr">
        <is>
          <t>[Recommendation in one line.] [Required.]
[Top 3 residual risks in plain language, numbered (1), (2), (3).]
[Business / patient-safety / regulatory implications — what happens if we ship as-is, in business terms.]
[Asks of leadership — what funding, sign-offs, or timeline change you need.]
Stand-alone test: a non-technical reader should be able to walk away from THIS section in 2 minutes with the recommendation, top risks, and asks. No jargon.</t>
        </is>
      </c>
      <c r="B10" s="6" t="n"/>
    </row>
    <row r="12" ht="22" customHeight="1">
      <c r="A12" s="8" t="inlineStr">
        <is>
          <t>SECTION B: Detailed Justification (governance audience)</t>
        </is>
      </c>
    </row>
    <row r="13" ht="380" customHeight="1">
      <c r="A13" s="26" t="inlineStr">
        <is>
          <t>[Evidence summary — cite ≥4 of D1-D7 by deliverable name and specific finding.]
[Residual risk vs risk appetite — explicit comparison against the appetite statement in A1 §7.]
[If Conditional Go: Conditions table with Condition / Measurable Threshold / Owner / Timeline.]
[Post-launch governance plan — KRI cadence, risk register review, model card refresh trigger.]</t>
        </is>
      </c>
      <c r="B13" s="6" t="n"/>
    </row>
    <row r="15" ht="22" customHeight="1">
      <c r="A15" s="8" t="inlineStr">
        <is>
          <t>SECTION C: RACI Sign-Off</t>
        </is>
      </c>
    </row>
    <row r="16" ht="28" customHeight="1">
      <c r="A16" s="43" t="inlineStr">
        <is>
          <t>Role</t>
        </is>
      </c>
      <c r="B16" s="43" t="inlineStr">
        <is>
          <t>Name / Title</t>
        </is>
      </c>
    </row>
    <row r="17">
      <c r="A17" s="33" t="inlineStr">
        <is>
          <t>Decision authority</t>
        </is>
      </c>
      <c r="B17" s="11" t="inlineStr">
        <is>
          <t>Chief AI Risk Officer</t>
        </is>
      </c>
    </row>
    <row r="18">
      <c r="A18" s="33" t="inlineStr">
        <is>
          <t>Required sign-off</t>
        </is>
      </c>
      <c r="B18" s="11" t="inlineStr">
        <is>
          <t>AI Review Board chair</t>
        </is>
      </c>
    </row>
    <row r="19">
      <c r="A19" s="33" t="inlineStr">
        <is>
          <t>Required sign-off</t>
        </is>
      </c>
      <c r="B19" s="11" t="inlineStr">
        <is>
          <t>Chief Compliance Officer</t>
        </is>
      </c>
    </row>
    <row r="20">
      <c r="A20" s="33" t="inlineStr">
        <is>
          <t>Informed</t>
        </is>
      </c>
      <c r="B20" s="11" t="inlineStr">
        <is>
          <t>Chief Medical Officer (implementation owner: Conditions 1 and 2)</t>
        </is>
      </c>
    </row>
    <row r="21">
      <c r="A21" s="33" t="inlineStr">
        <is>
          <t>Informed</t>
        </is>
      </c>
      <c r="B21" s="11" t="inlineStr">
        <is>
          <t>Chief Executive Officer (funding for 30-day remediation)</t>
        </is>
      </c>
    </row>
    <row r="22">
      <c r="A22" s="33" t="inlineStr">
        <is>
          <t>Informed</t>
        </is>
      </c>
      <c r="B22" s="11" t="inlineStr">
        <is>
          <t>Data Protection Officer (implementation owner: Condition 3)</t>
        </is>
      </c>
    </row>
  </sheetData>
  <mergeCells count="8">
    <mergeCell ref="A4:B4"/>
    <mergeCell ref="A2:B2"/>
    <mergeCell ref="A15:B15"/>
    <mergeCell ref="A10:B10"/>
    <mergeCell ref="A13:B13"/>
    <mergeCell ref="A1:B1"/>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2026-04-30T14:28:54Z</dcterms:created>
  <dcterms:modified xsi:type="dcterms:W3CDTF">2026-10-11T17:07:36Z</dcterms:modified>
</cp:coreProperties>
</file>